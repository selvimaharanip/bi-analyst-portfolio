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AB67D22D-93D7-426D-941A-EA164115FAC7}" xr6:coauthVersionLast="47" xr6:coauthVersionMax="47" xr10:uidLastSave="{00000000-0000-0000-0000-000000000000}"/>
  <bookViews>
    <workbookView xWindow="-120" yWindow="-120" windowWidth="20730" windowHeight="11310" activeTab="2" xr2:uid="{00000000-000D-0000-FFFF-FFFF00000000}"/>
  </bookViews>
  <sheets>
    <sheet name="raw_data" sheetId="1" r:id="rId1"/>
    <sheet name="pivot_data" sheetId="3" r:id="rId2"/>
    <sheet name="DASHBOARD" sheetId="2" r:id="rId3"/>
  </sheets>
  <definedNames>
    <definedName name="_xlcn.WorksheetConnection_student_monitoring_dashboard_dataCopy.xlsxTable11" hidden="1">student_data[]</definedName>
    <definedName name="Slicer_address">#N/A</definedName>
    <definedName name="Slicer_gender">#N/A</definedName>
    <definedName name="Slicer_school">#N/A</definedName>
  </definedNames>
  <calcPr calcId="191029"/>
  <pivotCaches>
    <pivotCache cacheId="280" r:id="rId4"/>
    <pivotCache cacheId="283" r:id="rId5"/>
    <pivotCache cacheId="286" r:id="rId6"/>
    <pivotCache cacheId="289" r:id="rId7"/>
    <pivotCache cacheId="292" r:id="rId8"/>
  </pivotCaches>
  <extLst>
    <ext xmlns:x14="http://schemas.microsoft.com/office/spreadsheetml/2009/9/main" uri="{876F7934-8845-4945-9796-88D515C7AA90}">
      <x14:pivotCaches>
        <pivotCache cacheId="10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tudent_monitoring_dashboard_data - Cop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2" l="1"/>
  <c r="F5" i="2"/>
  <c r="D5" i="2"/>
  <c r="B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A4037F-84E8-47A4-8C42-FE346B4C4DE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86661C-B08B-4C89-A7ED-31D20DF19E53}" name="WorksheetConnection_student_monitoring_dashboard_data - Copy.xlsx!Table1" type="102" refreshedVersion="7" minRefreshableVersion="5">
    <extLst>
      <ext xmlns:x15="http://schemas.microsoft.com/office/spreadsheetml/2010/11/main" uri="{DE250136-89BD-433C-8126-D09CA5730AF9}">
        <x15:connection id="Table1" autoDelete="1">
          <x15:rangePr sourceName="_xlcn.WorksheetConnection_student_monitoring_dashboard_dataCopy.xlsxTable11"/>
        </x15:connection>
      </ext>
    </extLst>
  </connection>
</connections>
</file>

<file path=xl/sharedStrings.xml><?xml version="1.0" encoding="utf-8"?>
<sst xmlns="http://schemas.openxmlformats.org/spreadsheetml/2006/main" count="7580" uniqueCount="83">
  <si>
    <t>school</t>
  </si>
  <si>
    <t>gender</t>
  </si>
  <si>
    <t>age</t>
  </si>
  <si>
    <t>address</t>
  </si>
  <si>
    <t>famsize</t>
  </si>
  <si>
    <t>Pstatus</t>
  </si>
  <si>
    <t>guardian</t>
  </si>
  <si>
    <t>mother_education</t>
  </si>
  <si>
    <t>father_education</t>
  </si>
  <si>
    <t>Mjob</t>
  </si>
  <si>
    <t>Fjob</t>
  </si>
  <si>
    <t>study_time</t>
  </si>
  <si>
    <t>traveltime</t>
  </si>
  <si>
    <t>schoolsup</t>
  </si>
  <si>
    <t>famsup</t>
  </si>
  <si>
    <t>paid</t>
  </si>
  <si>
    <t>activities</t>
  </si>
  <si>
    <t>internet</t>
  </si>
  <si>
    <t>romantic</t>
  </si>
  <si>
    <t>freetime</t>
  </si>
  <si>
    <t>goout</t>
  </si>
  <si>
    <t>Dalc</t>
  </si>
  <si>
    <t>Walc</t>
  </si>
  <si>
    <t>health</t>
  </si>
  <si>
    <t>academic_failures</t>
  </si>
  <si>
    <t>absences</t>
  </si>
  <si>
    <t>grade_period1</t>
  </si>
  <si>
    <t>grade_period2</t>
  </si>
  <si>
    <t>final_grade</t>
  </si>
  <si>
    <t>performance_category</t>
  </si>
  <si>
    <t>risk_flag</t>
  </si>
  <si>
    <t>absence_level</t>
  </si>
  <si>
    <t>study_time_category</t>
  </si>
  <si>
    <t>grade_progress</t>
  </si>
  <si>
    <t>progress_category</t>
  </si>
  <si>
    <t>GP</t>
  </si>
  <si>
    <t>F</t>
  </si>
  <si>
    <t>U</t>
  </si>
  <si>
    <t>GT3</t>
  </si>
  <si>
    <t>A</t>
  </si>
  <si>
    <t>mother</t>
  </si>
  <si>
    <t>at_home</t>
  </si>
  <si>
    <t>teacher</t>
  </si>
  <si>
    <t>yes</t>
  </si>
  <si>
    <t>no</t>
  </si>
  <si>
    <t>At Risk</t>
  </si>
  <si>
    <t>Moderate</t>
  </si>
  <si>
    <t>2-5 hours</t>
  </si>
  <si>
    <t>Improved</t>
  </si>
  <si>
    <t>T</t>
  </si>
  <si>
    <t>father</t>
  </si>
  <si>
    <t>other</t>
  </si>
  <si>
    <t>Low</t>
  </si>
  <si>
    <t>LE3</t>
  </si>
  <si>
    <t>services</t>
  </si>
  <si>
    <t>High Performing</t>
  </si>
  <si>
    <t>Normal</t>
  </si>
  <si>
    <t>5-10 hours</t>
  </si>
  <si>
    <t>Stable</t>
  </si>
  <si>
    <t>M</t>
  </si>
  <si>
    <t>Declined</t>
  </si>
  <si>
    <t>&lt;2 hours</t>
  </si>
  <si>
    <t>High</t>
  </si>
  <si>
    <t>R</t>
  </si>
  <si>
    <t>&gt;10 hours</t>
  </si>
  <si>
    <t>MS</t>
  </si>
  <si>
    <t>STUDENT DEVELOPMENT MONITORING DASHBOARD</t>
  </si>
  <si>
    <t>Total Students</t>
  </si>
  <si>
    <t>Avg Grade</t>
  </si>
  <si>
    <t>Row Labels</t>
  </si>
  <si>
    <t>Grand Total</t>
  </si>
  <si>
    <t>At Risk Students</t>
  </si>
  <si>
    <t>High Performing Students</t>
  </si>
  <si>
    <t>Pivot_Performance</t>
  </si>
  <si>
    <t>Student Risk Monitoring</t>
  </si>
  <si>
    <t>Pivot_Absence</t>
  </si>
  <si>
    <t>Pivot_StudyTime</t>
  </si>
  <si>
    <t>Pivot_Progress</t>
  </si>
  <si>
    <t>• 47% students are classified as academically at risk</t>
  </si>
  <si>
    <t>• Most students study 2–5 hours per week</t>
  </si>
  <si>
    <t>• Academic performance shows a declining trend for many students</t>
  </si>
  <si>
    <t>• Attendance levels are generally low, indicating good presence</t>
  </si>
  <si>
    <t>Key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</si>
</sst>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ont>
    <font>
      <b/>
      <sz val="14"/>
      <color theme="1"/>
      <name val="Calibri"/>
      <family val="2"/>
      <scheme val="minor"/>
    </font>
    <font>
      <sz val="11"/>
      <color theme="1"/>
      <name val="Segoe UI"/>
      <family val="2"/>
    </font>
    <font>
      <b/>
      <sz val="28"/>
      <color theme="1"/>
      <name val="Segoe UI"/>
      <family val="2"/>
    </font>
    <font>
      <b/>
      <sz val="11"/>
      <color theme="1"/>
      <name val="Segoe UI"/>
      <family val="2"/>
    </font>
    <font>
      <b/>
      <sz val="28"/>
      <color theme="0"/>
      <name val="Segoe UI"/>
      <family val="2"/>
    </font>
    <font>
      <b/>
      <sz val="16"/>
      <color theme="1"/>
      <name val="Calibri"/>
      <family val="2"/>
      <scheme val="minor"/>
    </font>
    <font>
      <b/>
      <sz val="16"/>
      <color theme="0"/>
      <name val="Calibri"/>
      <family val="2"/>
      <scheme val="minor"/>
    </font>
    <font>
      <b/>
      <sz val="24"/>
      <color theme="1"/>
      <name val="Segoe UI"/>
      <family val="2"/>
    </font>
    <font>
      <b/>
      <sz val="24"/>
      <color rgb="FFC00000"/>
      <name val="Segoe UI"/>
      <family val="2"/>
    </font>
    <font>
      <b/>
      <sz val="24"/>
      <name val="Segoe UI"/>
      <family val="2"/>
    </font>
    <font>
      <sz val="12"/>
      <color theme="1"/>
      <name val="Calibri"/>
      <family val="2"/>
      <scheme val="minor"/>
    </font>
  </fonts>
  <fills count="11">
    <fill>
      <patternFill patternType="none"/>
    </fill>
    <fill>
      <patternFill patternType="gray125"/>
    </fill>
    <fill>
      <patternFill patternType="solid">
        <fgColor theme="8"/>
        <bgColor indexed="64"/>
      </patternFill>
    </fill>
    <fill>
      <patternFill patternType="solid">
        <fgColor theme="8"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00B050"/>
        <bgColor indexed="64"/>
      </patternFill>
    </fill>
    <fill>
      <patternFill patternType="solid">
        <fgColor theme="6"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6" fillId="10"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8" fillId="4" borderId="0" xfId="0" applyFont="1" applyFill="1" applyAlignment="1">
      <alignment horizontal="center" vertical="center"/>
    </xf>
    <xf numFmtId="0" fontId="8" fillId="6" borderId="0" xfId="0" applyFont="1" applyFill="1" applyAlignment="1">
      <alignment horizontal="center" vertical="center"/>
    </xf>
    <xf numFmtId="0" fontId="7" fillId="8" borderId="0" xfId="0" applyFont="1" applyFill="1" applyAlignment="1">
      <alignment horizontal="center" vertical="center"/>
    </xf>
    <xf numFmtId="0" fontId="7" fillId="0" borderId="0" xfId="0" applyFont="1" applyAlignment="1">
      <alignment horizontal="center"/>
    </xf>
    <xf numFmtId="0" fontId="9" fillId="3" borderId="0" xfId="0" applyFont="1" applyFill="1" applyAlignment="1">
      <alignment horizontal="center" vertical="center"/>
    </xf>
    <xf numFmtId="0" fontId="9" fillId="0" borderId="0" xfId="0" applyFont="1" applyAlignment="1">
      <alignment horizontal="center" vertical="center"/>
    </xf>
    <xf numFmtId="0" fontId="10" fillId="5" borderId="0" xfId="0" applyFont="1" applyFill="1" applyAlignment="1">
      <alignment horizontal="center" vertical="center"/>
    </xf>
    <xf numFmtId="0" fontId="11" fillId="7" borderId="0" xfId="0" applyFont="1" applyFill="1" applyAlignment="1">
      <alignment horizontal="center" vertical="center"/>
    </xf>
    <xf numFmtId="0" fontId="9" fillId="9" borderId="0" xfId="0" applyFont="1" applyFill="1" applyAlignment="1">
      <alignment horizontal="center" vertical="center"/>
    </xf>
    <xf numFmtId="0" fontId="9" fillId="0" borderId="0" xfId="0" applyFont="1"/>
    <xf numFmtId="0" fontId="12" fillId="0" borderId="0" xfId="0" applyFont="1"/>
    <xf numFmtId="0" fontId="2" fillId="0" borderId="0" xfId="0" applyFont="1"/>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[student_monitoring_dashboard_data - Copy.xlsx]pivot_data!PivotTable1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Performance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pivot_data!$B$2</c:f>
              <c:strCache>
                <c:ptCount val="1"/>
                <c:pt idx="0">
                  <c:v>Total</c:v>
                </c:pt>
              </c:strCache>
            </c:strRef>
          </c:tx>
          <c:spPr>
            <a:solidFill>
              <a:schemeClr val="accent1"/>
            </a:solidFill>
            <a:ln>
              <a:noFill/>
            </a:ln>
            <a:effectLst/>
          </c:spPr>
          <c:invertIfNegative val="0"/>
          <c:cat>
            <c:strRef>
              <c:f>pivot_data!$A$3:$A$6</c:f>
              <c:strCache>
                <c:ptCount val="3"/>
                <c:pt idx="0">
                  <c:v>High Performing</c:v>
                </c:pt>
                <c:pt idx="1">
                  <c:v>Moderate</c:v>
                </c:pt>
                <c:pt idx="2">
                  <c:v>At Risk</c:v>
                </c:pt>
              </c:strCache>
            </c:strRef>
          </c:cat>
          <c:val>
            <c:numRef>
              <c:f>pivot_data!$B$3:$B$6</c:f>
              <c:numCache>
                <c:formatCode>General</c:formatCode>
                <c:ptCount val="3"/>
                <c:pt idx="0">
                  <c:v>100</c:v>
                </c:pt>
                <c:pt idx="1">
                  <c:v>165</c:v>
                </c:pt>
                <c:pt idx="2">
                  <c:v>130</c:v>
                </c:pt>
              </c:numCache>
            </c:numRef>
          </c:val>
          <c:extLst>
            <c:ext xmlns:c16="http://schemas.microsoft.com/office/drawing/2014/chart" uri="{C3380CC4-5D6E-409C-BE32-E72D297353CC}">
              <c16:uniqueId val="{00000000-784A-4146-8756-C2D433C25826}"/>
            </c:ext>
          </c:extLst>
        </c:ser>
        <c:dLbls>
          <c:showLegendKey val="0"/>
          <c:showVal val="0"/>
          <c:showCatName val="0"/>
          <c:showSerName val="0"/>
          <c:showPercent val="0"/>
          <c:showBubbleSize val="0"/>
        </c:dLbls>
        <c:gapWidth val="182"/>
        <c:axId val="727994688"/>
        <c:axId val="727996352"/>
      </c:barChart>
      <c:catAx>
        <c:axId val="72799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996352"/>
        <c:crosses val="autoZero"/>
        <c:auto val="1"/>
        <c:lblAlgn val="ctr"/>
        <c:lblOffset val="100"/>
        <c:noMultiLvlLbl val="0"/>
      </c:catAx>
      <c:valAx>
        <c:axId val="72799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99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[student_monitoring_dashboard_data - Copy.xlsx]pivot_data!PivotTable2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Risk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pivot_data!$B$9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pivot_data!$A$10:$A$12</c:f>
              <c:strCache>
                <c:ptCount val="2"/>
                <c:pt idx="0">
                  <c:v>At Risk</c:v>
                </c:pt>
                <c:pt idx="1">
                  <c:v>Normal</c:v>
                </c:pt>
              </c:strCache>
            </c:strRef>
          </c:cat>
          <c:val>
            <c:numRef>
              <c:f>pivot_data!$B$10:$B$12</c:f>
              <c:numCache>
                <c:formatCode>General</c:formatCode>
                <c:ptCount val="2"/>
                <c:pt idx="0">
                  <c:v>185</c:v>
                </c:pt>
                <c:pt idx="1">
                  <c:v>210</c:v>
                </c:pt>
              </c:numCache>
            </c:numRef>
          </c:val>
          <c:extLst>
            <c:ext xmlns:c16="http://schemas.microsoft.com/office/drawing/2014/chart" uri="{C3380CC4-5D6E-409C-BE32-E72D297353CC}">
              <c16:uniqueId val="{00000000-1EAD-4319-9DAA-32EC723C36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[student_monitoring_dashboard_data - Copy.xlsx]pivot_data!PivotTable3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Attendance Monitoring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pivot_data!$B$15</c:f>
              <c:strCache>
                <c:ptCount val="1"/>
                <c:pt idx="0">
                  <c:v>Total</c:v>
                </c:pt>
              </c:strCache>
            </c:strRef>
          </c:tx>
          <c:spPr>
            <a:solidFill>
              <a:schemeClr val="accent1"/>
            </a:solidFill>
            <a:ln>
              <a:noFill/>
            </a:ln>
            <a:effectLst/>
          </c:spPr>
          <c:invertIfNegative val="0"/>
          <c:cat>
            <c:strRef>
              <c:f>pivot_data!$A$16:$A$19</c:f>
              <c:strCache>
                <c:ptCount val="3"/>
                <c:pt idx="0">
                  <c:v>High</c:v>
                </c:pt>
                <c:pt idx="1">
                  <c:v>Low</c:v>
                </c:pt>
                <c:pt idx="2">
                  <c:v>Moderate</c:v>
                </c:pt>
              </c:strCache>
            </c:strRef>
          </c:cat>
          <c:val>
            <c:numRef>
              <c:f>pivot_data!$B$16:$B$19</c:f>
              <c:numCache>
                <c:formatCode>General</c:formatCode>
                <c:ptCount val="3"/>
                <c:pt idx="0">
                  <c:v>33</c:v>
                </c:pt>
                <c:pt idx="1">
                  <c:v>249</c:v>
                </c:pt>
                <c:pt idx="2">
                  <c:v>113</c:v>
                </c:pt>
              </c:numCache>
            </c:numRef>
          </c:val>
          <c:extLst>
            <c:ext xmlns:c16="http://schemas.microsoft.com/office/drawing/2014/chart" uri="{C3380CC4-5D6E-409C-BE32-E72D297353CC}">
              <c16:uniqueId val="{00000000-64D2-4B06-976F-8FF04DBBD8C6}"/>
            </c:ext>
          </c:extLst>
        </c:ser>
        <c:dLbls>
          <c:showLegendKey val="0"/>
          <c:showVal val="0"/>
          <c:showCatName val="0"/>
          <c:showSerName val="0"/>
          <c:showPercent val="0"/>
          <c:showBubbleSize val="0"/>
        </c:dLbls>
        <c:gapWidth val="219"/>
        <c:overlap val="-27"/>
        <c:axId val="796958912"/>
        <c:axId val="796959328"/>
      </c:barChart>
      <c:catAx>
        <c:axId val="79695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59328"/>
        <c:crosses val="autoZero"/>
        <c:auto val="1"/>
        <c:lblAlgn val="ctr"/>
        <c:lblOffset val="100"/>
        <c:noMultiLvlLbl val="0"/>
      </c:catAx>
      <c:valAx>
        <c:axId val="79695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5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[student_monitoring_dashboard_data - Copy.xlsx]pivot_data!PivotTable4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 Time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pivot_data!$B$22</c:f>
              <c:strCache>
                <c:ptCount val="1"/>
                <c:pt idx="0">
                  <c:v>Total</c:v>
                </c:pt>
              </c:strCache>
            </c:strRef>
          </c:tx>
          <c:spPr>
            <a:solidFill>
              <a:schemeClr val="accent1"/>
            </a:solidFill>
            <a:ln>
              <a:noFill/>
            </a:ln>
            <a:effectLst/>
          </c:spPr>
          <c:invertIfNegative val="0"/>
          <c:cat>
            <c:strRef>
              <c:f>pivot_data!$A$23:$A$27</c:f>
              <c:strCache>
                <c:ptCount val="4"/>
                <c:pt idx="0">
                  <c:v>&lt;2 hours</c:v>
                </c:pt>
                <c:pt idx="1">
                  <c:v>&gt;10 hours</c:v>
                </c:pt>
                <c:pt idx="2">
                  <c:v>2-5 hours</c:v>
                </c:pt>
                <c:pt idx="3">
                  <c:v>5-10 hours</c:v>
                </c:pt>
              </c:strCache>
            </c:strRef>
          </c:cat>
          <c:val>
            <c:numRef>
              <c:f>pivot_data!$B$23:$B$27</c:f>
              <c:numCache>
                <c:formatCode>General</c:formatCode>
                <c:ptCount val="4"/>
                <c:pt idx="0">
                  <c:v>105</c:v>
                </c:pt>
                <c:pt idx="1">
                  <c:v>27</c:v>
                </c:pt>
                <c:pt idx="2">
                  <c:v>198</c:v>
                </c:pt>
                <c:pt idx="3">
                  <c:v>65</c:v>
                </c:pt>
              </c:numCache>
            </c:numRef>
          </c:val>
          <c:extLst>
            <c:ext xmlns:c16="http://schemas.microsoft.com/office/drawing/2014/chart" uri="{C3380CC4-5D6E-409C-BE32-E72D297353CC}">
              <c16:uniqueId val="{00000000-C8D4-4EA3-94D1-0C892A81B572}"/>
            </c:ext>
          </c:extLst>
        </c:ser>
        <c:dLbls>
          <c:showLegendKey val="0"/>
          <c:showVal val="0"/>
          <c:showCatName val="0"/>
          <c:showSerName val="0"/>
          <c:showPercent val="0"/>
          <c:showBubbleSize val="0"/>
        </c:dLbls>
        <c:gapWidth val="219"/>
        <c:overlap val="-27"/>
        <c:axId val="1604659280"/>
        <c:axId val="1604660528"/>
      </c:barChart>
      <c:catAx>
        <c:axId val="16046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60528"/>
        <c:crosses val="autoZero"/>
        <c:auto val="1"/>
        <c:lblAlgn val="ctr"/>
        <c:lblOffset val="100"/>
        <c:noMultiLvlLbl val="0"/>
      </c:catAx>
      <c:valAx>
        <c:axId val="160466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5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[student_monitoring_dashboard_data - Copy.xlsx]pivot_data!PivotTable5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Academic Progress Monitoring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pivot_data!$B$30</c:f>
              <c:strCache>
                <c:ptCount val="1"/>
                <c:pt idx="0">
                  <c:v>Total</c:v>
                </c:pt>
              </c:strCache>
            </c:strRef>
          </c:tx>
          <c:spPr>
            <a:solidFill>
              <a:schemeClr val="accent1"/>
            </a:solidFill>
            <a:ln>
              <a:noFill/>
            </a:ln>
            <a:effectLst/>
          </c:spPr>
          <c:invertIfNegative val="0"/>
          <c:cat>
            <c:strRef>
              <c:f>pivot_data!$A$31:$A$34</c:f>
              <c:strCache>
                <c:ptCount val="3"/>
                <c:pt idx="0">
                  <c:v>Declined</c:v>
                </c:pt>
                <c:pt idx="1">
                  <c:v>Improved</c:v>
                </c:pt>
                <c:pt idx="2">
                  <c:v>Stable</c:v>
                </c:pt>
              </c:strCache>
            </c:strRef>
          </c:cat>
          <c:val>
            <c:numRef>
              <c:f>pivot_data!$B$31:$B$34</c:f>
              <c:numCache>
                <c:formatCode>General</c:formatCode>
                <c:ptCount val="3"/>
                <c:pt idx="0">
                  <c:v>159</c:v>
                </c:pt>
                <c:pt idx="1">
                  <c:v>143</c:v>
                </c:pt>
                <c:pt idx="2">
                  <c:v>93</c:v>
                </c:pt>
              </c:numCache>
            </c:numRef>
          </c:val>
          <c:extLst>
            <c:ext xmlns:c16="http://schemas.microsoft.com/office/drawing/2014/chart" uri="{C3380CC4-5D6E-409C-BE32-E72D297353CC}">
              <c16:uniqueId val="{00000000-A151-4ADE-9F5B-14D45C4CC0FA}"/>
            </c:ext>
          </c:extLst>
        </c:ser>
        <c:dLbls>
          <c:showLegendKey val="0"/>
          <c:showVal val="0"/>
          <c:showCatName val="0"/>
          <c:showSerName val="0"/>
          <c:showPercent val="0"/>
          <c:showBubbleSize val="0"/>
        </c:dLbls>
        <c:gapWidth val="150"/>
        <c:overlap val="100"/>
        <c:axId val="807562688"/>
        <c:axId val="807563520"/>
      </c:barChart>
      <c:catAx>
        <c:axId val="8075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563520"/>
        <c:crosses val="autoZero"/>
        <c:auto val="1"/>
        <c:lblAlgn val="ctr"/>
        <c:lblOffset val="100"/>
        <c:noMultiLvlLbl val="0"/>
      </c:catAx>
      <c:valAx>
        <c:axId val="807563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56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[student_monitoring_dashboard_data - Copy.xlsx]pivot_data!PivotTable1</c:name>
    <c:fmtId val="2"/>
  </c:pivotSource>
  <c:chart>
    <c:title>
      <c:tx>
        <c:rich>
          <a:bodyPr rot="0" spcFirstLastPara="1" vertOverflow="ellipsis" vert="horz" wrap="square" anchor="ctr" anchorCtr="1"/>
          <a:lstStyle/>
          <a:p>
            <a:pPr>
              <a:defRPr sz="1600" b="1" i="0" u="none" strike="noStrike" kern="1200" cap="all" spc="50" baseline="0">
                <a:solidFill>
                  <a:schemeClr val="accent1">
                    <a:lumMod val="75000"/>
                  </a:schemeClr>
                </a:solidFill>
                <a:latin typeface="+mn-lt"/>
                <a:ea typeface="Cambria" panose="02040503050406030204" pitchFamily="18" charset="0"/>
                <a:cs typeface="+mn-cs"/>
              </a:defRPr>
            </a:pPr>
            <a:r>
              <a:rPr lang="en-US" sz="1600" b="1">
                <a:solidFill>
                  <a:schemeClr val="accent1">
                    <a:lumMod val="75000"/>
                  </a:schemeClr>
                </a:solidFill>
                <a:latin typeface="+mn-lt"/>
                <a:ea typeface="Cambria" panose="02040503050406030204" pitchFamily="18" charset="0"/>
              </a:rPr>
              <a:t>Student Performance Distribution</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1">
                  <a:lumMod val="75000"/>
                </a:schemeClr>
              </a:solidFill>
              <a:latin typeface="+mn-lt"/>
              <a:ea typeface="Cambria"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pivot_data!$A$3:$A$6</c:f>
              <c:strCache>
                <c:ptCount val="3"/>
                <c:pt idx="0">
                  <c:v>High Performing</c:v>
                </c:pt>
                <c:pt idx="1">
                  <c:v>Moderate</c:v>
                </c:pt>
                <c:pt idx="2">
                  <c:v>At Risk</c:v>
                </c:pt>
              </c:strCache>
            </c:strRef>
          </c:cat>
          <c:val>
            <c:numRef>
              <c:f>pivot_data!$B$3:$B$6</c:f>
              <c:numCache>
                <c:formatCode>General</c:formatCode>
                <c:ptCount val="3"/>
                <c:pt idx="0">
                  <c:v>100</c:v>
                </c:pt>
                <c:pt idx="1">
                  <c:v>165</c:v>
                </c:pt>
                <c:pt idx="2">
                  <c:v>130</c:v>
                </c:pt>
              </c:numCache>
            </c:numRef>
          </c:val>
          <c:extLst>
            <c:ext xmlns:c16="http://schemas.microsoft.com/office/drawing/2014/chart" uri="{C3380CC4-5D6E-409C-BE32-E72D297353CC}">
              <c16:uniqueId val="{00000000-0276-464F-B8E3-3CAAF5E0CDBA}"/>
            </c:ext>
          </c:extLst>
        </c:ser>
        <c:dLbls>
          <c:showLegendKey val="0"/>
          <c:showVal val="1"/>
          <c:showCatName val="0"/>
          <c:showSerName val="0"/>
          <c:showPercent val="0"/>
          <c:showBubbleSize val="0"/>
        </c:dLbls>
        <c:gapWidth val="150"/>
        <c:overlap val="-25"/>
        <c:axId val="727994688"/>
        <c:axId val="727996352"/>
      </c:barChart>
      <c:catAx>
        <c:axId val="7279946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996352"/>
        <c:crosses val="autoZero"/>
        <c:auto val="1"/>
        <c:lblAlgn val="ctr"/>
        <c:lblOffset val="100"/>
        <c:noMultiLvlLbl val="0"/>
      </c:catAx>
      <c:valAx>
        <c:axId val="727996352"/>
        <c:scaling>
          <c:orientation val="minMax"/>
        </c:scaling>
        <c:delete val="1"/>
        <c:axPos val="b"/>
        <c:numFmt formatCode="General" sourceLinked="1"/>
        <c:majorTickMark val="none"/>
        <c:minorTickMark val="none"/>
        <c:tickLblPos val="nextTo"/>
        <c:crossAx val="72799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[student_monitoring_dashboard_data - Copy.xlsx]pivot_data!PivotTable2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Student Risk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pivot_data!$B$9</c:f>
              <c:strCache>
                <c:ptCount val="1"/>
                <c:pt idx="0">
                  <c:v>Total</c:v>
                </c:pt>
              </c:strCache>
            </c:strRef>
          </c:tx>
          <c:dPt>
            <c:idx val="0"/>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2717-4AF6-986C-5424643B65D7}"/>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717-4AF6-986C-5424643B65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pivot_data!$A$10:$A$12</c:f>
              <c:strCache>
                <c:ptCount val="2"/>
                <c:pt idx="0">
                  <c:v>At Risk</c:v>
                </c:pt>
                <c:pt idx="1">
                  <c:v>Normal</c:v>
                </c:pt>
              </c:strCache>
            </c:strRef>
          </c:cat>
          <c:val>
            <c:numRef>
              <c:f>pivot_data!$B$10:$B$12</c:f>
              <c:numCache>
                <c:formatCode>General</c:formatCode>
                <c:ptCount val="2"/>
                <c:pt idx="0">
                  <c:v>185</c:v>
                </c:pt>
                <c:pt idx="1">
                  <c:v>210</c:v>
                </c:pt>
              </c:numCache>
            </c:numRef>
          </c:val>
          <c:extLst>
            <c:ext xmlns:c16="http://schemas.microsoft.com/office/drawing/2014/chart" uri="{C3380CC4-5D6E-409C-BE32-E72D297353CC}">
              <c16:uniqueId val="{00000004-2717-4AF6-986C-5424643B65D7}"/>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[student_monitoring_dashboard_data - Copy.xlsx]pivot_data!PivotTable3</c:name>
    <c:fmtId val="2"/>
  </c:pivotSource>
  <c:chart>
    <c:title>
      <c:tx>
        <c:rich>
          <a:bodyPr rot="0" spcFirstLastPara="1" vertOverflow="ellipsis" vert="horz" wrap="square" anchor="ctr" anchorCtr="1"/>
          <a:lstStyle/>
          <a:p>
            <a:pPr>
              <a:defRPr sz="1600" b="1" i="0" u="none" strike="noStrike" kern="1200" cap="none" spc="0" normalizeH="0" baseline="0">
                <a:solidFill>
                  <a:schemeClr val="accent1">
                    <a:lumMod val="75000"/>
                  </a:schemeClr>
                </a:solidFill>
                <a:latin typeface="+mn-lt"/>
                <a:ea typeface="+mj-ea"/>
                <a:cs typeface="+mj-cs"/>
              </a:defRPr>
            </a:pPr>
            <a:r>
              <a:rPr lang="en-US" sz="1600" b="1">
                <a:solidFill>
                  <a:schemeClr val="accent1">
                    <a:lumMod val="75000"/>
                  </a:schemeClr>
                </a:solidFill>
                <a:latin typeface="+mn-lt"/>
              </a:rPr>
              <a:t>Student Attendance Monitoring</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1">
                  <a:lumMod val="75000"/>
                </a:schemeClr>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pivot_data!$A$16:$A$19</c:f>
              <c:strCache>
                <c:ptCount val="3"/>
                <c:pt idx="0">
                  <c:v>High</c:v>
                </c:pt>
                <c:pt idx="1">
                  <c:v>Low</c:v>
                </c:pt>
                <c:pt idx="2">
                  <c:v>Moderate</c:v>
                </c:pt>
              </c:strCache>
            </c:strRef>
          </c:cat>
          <c:val>
            <c:numRef>
              <c:f>pivot_data!$B$16:$B$19</c:f>
              <c:numCache>
                <c:formatCode>General</c:formatCode>
                <c:ptCount val="3"/>
                <c:pt idx="0">
                  <c:v>33</c:v>
                </c:pt>
                <c:pt idx="1">
                  <c:v>249</c:v>
                </c:pt>
                <c:pt idx="2">
                  <c:v>113</c:v>
                </c:pt>
              </c:numCache>
            </c:numRef>
          </c:val>
          <c:extLst>
            <c:ext xmlns:c16="http://schemas.microsoft.com/office/drawing/2014/chart" uri="{C3380CC4-5D6E-409C-BE32-E72D297353CC}">
              <c16:uniqueId val="{00000000-8D34-4656-8BBE-450F3B72A44C}"/>
            </c:ext>
          </c:extLst>
        </c:ser>
        <c:dLbls>
          <c:showLegendKey val="0"/>
          <c:showVal val="1"/>
          <c:showCatName val="0"/>
          <c:showSerName val="0"/>
          <c:showPercent val="0"/>
          <c:showBubbleSize val="0"/>
        </c:dLbls>
        <c:gapWidth val="150"/>
        <c:overlap val="-25"/>
        <c:axId val="796958912"/>
        <c:axId val="796959328"/>
      </c:barChart>
      <c:catAx>
        <c:axId val="79695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96959328"/>
        <c:crosses val="autoZero"/>
        <c:auto val="1"/>
        <c:lblAlgn val="ctr"/>
        <c:lblOffset val="100"/>
        <c:noMultiLvlLbl val="0"/>
      </c:catAx>
      <c:valAx>
        <c:axId val="796959328"/>
        <c:scaling>
          <c:orientation val="minMax"/>
        </c:scaling>
        <c:delete val="1"/>
        <c:axPos val="l"/>
        <c:numFmt formatCode="General" sourceLinked="1"/>
        <c:majorTickMark val="none"/>
        <c:minorTickMark val="none"/>
        <c:tickLblPos val="nextTo"/>
        <c:crossAx val="79695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[student_monitoring_dashboard_data - Copy.xlsx]pivot_data!PivotTable4</c:name>
    <c:fmtId val="2"/>
  </c:pivotSource>
  <c:chart>
    <c:title>
      <c:tx>
        <c:rich>
          <a:bodyPr rot="0" spcFirstLastPara="1" vertOverflow="ellipsis" vert="horz" wrap="square" anchor="ctr" anchorCtr="1"/>
          <a:lstStyle/>
          <a:p>
            <a:pPr>
              <a:defRPr sz="1600" b="1" i="0" u="none" strike="noStrike" kern="1200" cap="none" spc="0" normalizeH="0" baseline="0">
                <a:solidFill>
                  <a:schemeClr val="accent1">
                    <a:lumMod val="75000"/>
                  </a:schemeClr>
                </a:solidFill>
                <a:latin typeface="+mn-lt"/>
                <a:ea typeface="+mj-ea"/>
                <a:cs typeface="+mj-cs"/>
              </a:defRPr>
            </a:pPr>
            <a:r>
              <a:rPr lang="en-US" sz="1600" b="1">
                <a:solidFill>
                  <a:schemeClr val="accent1">
                    <a:lumMod val="75000"/>
                  </a:schemeClr>
                </a:solidFill>
                <a:latin typeface="+mn-lt"/>
              </a:rPr>
              <a:t>Study Time Distribution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1">
                  <a:lumMod val="75000"/>
                </a:schemeClr>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pivot_data!$A$23:$A$27</c:f>
              <c:strCache>
                <c:ptCount val="4"/>
                <c:pt idx="0">
                  <c:v>&lt;2 hours</c:v>
                </c:pt>
                <c:pt idx="1">
                  <c:v>&gt;10 hours</c:v>
                </c:pt>
                <c:pt idx="2">
                  <c:v>2-5 hours</c:v>
                </c:pt>
                <c:pt idx="3">
                  <c:v>5-10 hours</c:v>
                </c:pt>
              </c:strCache>
            </c:strRef>
          </c:cat>
          <c:val>
            <c:numRef>
              <c:f>pivot_data!$B$23:$B$27</c:f>
              <c:numCache>
                <c:formatCode>General</c:formatCode>
                <c:ptCount val="4"/>
                <c:pt idx="0">
                  <c:v>105</c:v>
                </c:pt>
                <c:pt idx="1">
                  <c:v>27</c:v>
                </c:pt>
                <c:pt idx="2">
                  <c:v>198</c:v>
                </c:pt>
                <c:pt idx="3">
                  <c:v>65</c:v>
                </c:pt>
              </c:numCache>
            </c:numRef>
          </c:val>
          <c:extLst>
            <c:ext xmlns:c16="http://schemas.microsoft.com/office/drawing/2014/chart" uri="{C3380CC4-5D6E-409C-BE32-E72D297353CC}">
              <c16:uniqueId val="{00000000-BFFA-4945-A1D2-9D4CDE422356}"/>
            </c:ext>
          </c:extLst>
        </c:ser>
        <c:dLbls>
          <c:showLegendKey val="0"/>
          <c:showVal val="1"/>
          <c:showCatName val="0"/>
          <c:showSerName val="0"/>
          <c:showPercent val="0"/>
          <c:showBubbleSize val="0"/>
        </c:dLbls>
        <c:gapWidth val="150"/>
        <c:overlap val="-25"/>
        <c:axId val="1604659280"/>
        <c:axId val="1604660528"/>
      </c:barChart>
      <c:catAx>
        <c:axId val="16046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04660528"/>
        <c:crosses val="autoZero"/>
        <c:auto val="1"/>
        <c:lblAlgn val="ctr"/>
        <c:lblOffset val="100"/>
        <c:noMultiLvlLbl val="0"/>
      </c:catAx>
      <c:valAx>
        <c:axId val="1604660528"/>
        <c:scaling>
          <c:orientation val="minMax"/>
        </c:scaling>
        <c:delete val="1"/>
        <c:axPos val="l"/>
        <c:numFmt formatCode="General" sourceLinked="1"/>
        <c:majorTickMark val="none"/>
        <c:minorTickMark val="none"/>
        <c:tickLblPos val="nextTo"/>
        <c:crossAx val="160465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[student_monitoring_dashboard_data - Copy.xlsx]pivot_data!PivotTable5</c:name>
    <c:fmtId val="2"/>
  </c:pivotSource>
  <c:chart>
    <c:title>
      <c:tx>
        <c:rich>
          <a:bodyPr rot="0" spcFirstLastPara="1" vertOverflow="ellipsis" vert="horz" wrap="square" anchor="ctr" anchorCtr="1"/>
          <a:lstStyle/>
          <a:p>
            <a:pPr>
              <a:defRPr sz="1600" b="1" i="0" u="none" strike="noStrike" kern="1200" cap="all" spc="50" baseline="0">
                <a:solidFill>
                  <a:schemeClr val="accent1">
                    <a:lumMod val="75000"/>
                  </a:schemeClr>
                </a:solidFill>
                <a:latin typeface="+mn-lt"/>
                <a:ea typeface="+mn-ea"/>
                <a:cs typeface="+mn-cs"/>
              </a:defRPr>
            </a:pPr>
            <a:r>
              <a:rPr lang="en-US" sz="1600">
                <a:solidFill>
                  <a:schemeClr val="accent1">
                    <a:lumMod val="75000"/>
                  </a:schemeClr>
                </a:solidFill>
                <a:latin typeface="+mn-lt"/>
              </a:rPr>
              <a:t>Academic Progress Monitoring</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70000"/>
            </a:schemeClr>
          </a:soli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pivot_data!$B$30</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pivot_data!$A$31:$A$34</c:f>
              <c:strCache>
                <c:ptCount val="3"/>
                <c:pt idx="0">
                  <c:v>Declined</c:v>
                </c:pt>
                <c:pt idx="1">
                  <c:v>Improved</c:v>
                </c:pt>
                <c:pt idx="2">
                  <c:v>Stable</c:v>
                </c:pt>
              </c:strCache>
            </c:strRef>
          </c:cat>
          <c:val>
            <c:numRef>
              <c:f>pivot_data!$B$31:$B$34</c:f>
              <c:numCache>
                <c:formatCode>General</c:formatCode>
                <c:ptCount val="3"/>
                <c:pt idx="0">
                  <c:v>159</c:v>
                </c:pt>
                <c:pt idx="1">
                  <c:v>143</c:v>
                </c:pt>
                <c:pt idx="2">
                  <c:v>93</c:v>
                </c:pt>
              </c:numCache>
            </c:numRef>
          </c:val>
          <c:extLst>
            <c:ext xmlns:c16="http://schemas.microsoft.com/office/drawing/2014/chart" uri="{C3380CC4-5D6E-409C-BE32-E72D297353CC}">
              <c16:uniqueId val="{00000000-FE19-4E7F-9A09-F3C5411F81B1}"/>
            </c:ext>
          </c:extLst>
        </c:ser>
        <c:dLbls>
          <c:showLegendKey val="0"/>
          <c:showVal val="1"/>
          <c:showCatName val="0"/>
          <c:showSerName val="0"/>
          <c:showPercent val="0"/>
          <c:showBubbleSize val="0"/>
        </c:dLbls>
        <c:gapWidth val="95"/>
        <c:overlap val="100"/>
        <c:axId val="807562688"/>
        <c:axId val="807563520"/>
      </c:barChart>
      <c:catAx>
        <c:axId val="80756268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563520"/>
        <c:crosses val="autoZero"/>
        <c:auto val="1"/>
        <c:lblAlgn val="ctr"/>
        <c:lblOffset val="100"/>
        <c:noMultiLvlLbl val="0"/>
      </c:catAx>
      <c:valAx>
        <c:axId val="807563520"/>
        <c:scaling>
          <c:orientation val="minMax"/>
        </c:scaling>
        <c:delete val="1"/>
        <c:axPos val="b"/>
        <c:numFmt formatCode="General" sourceLinked="1"/>
        <c:majorTickMark val="none"/>
        <c:minorTickMark val="none"/>
        <c:tickLblPos val="nextTo"/>
        <c:crossAx val="80756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600075</xdr:colOff>
      <xdr:row>0</xdr:row>
      <xdr:rowOff>176212</xdr:rowOff>
    </xdr:from>
    <xdr:to>
      <xdr:col>9</xdr:col>
      <xdr:colOff>57150</xdr:colOff>
      <xdr:row>9</xdr:row>
      <xdr:rowOff>180975</xdr:rowOff>
    </xdr:to>
    <xdr:graphicFrame macro="">
      <xdr:nvGraphicFramePr>
        <xdr:cNvPr id="2" name="Student Performance Distribution">
          <a:extLst>
            <a:ext uri="{FF2B5EF4-FFF2-40B4-BE49-F238E27FC236}">
              <a16:creationId xmlns:a16="http://schemas.microsoft.com/office/drawing/2014/main" id="{39ADA2F6-2F55-4ED1-BA10-B4F73ACD4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247650</xdr:colOff>
      <xdr:row>0</xdr:row>
      <xdr:rowOff>166687</xdr:rowOff>
    </xdr:from>
    <xdr:to>
      <xdr:col>14</xdr:col>
      <xdr:colOff>152400</xdr:colOff>
      <xdr:row>11</xdr:row>
      <xdr:rowOff>123825</xdr:rowOff>
    </xdr:to>
    <xdr:graphicFrame macro="">
      <xdr:nvGraphicFramePr>
        <xdr:cNvPr id="3" name="Student Risk Status">
          <a:extLst>
            <a:ext uri="{FF2B5EF4-FFF2-40B4-BE49-F238E27FC236}">
              <a16:creationId xmlns:a16="http://schemas.microsoft.com/office/drawing/2014/main" id="{28F9344B-B7EA-42EE-882E-B655B99AE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10</xdr:row>
      <xdr:rowOff>147637</xdr:rowOff>
    </xdr:from>
    <xdr:to>
      <xdr:col>8</xdr:col>
      <xdr:colOff>371475</xdr:colOff>
      <xdr:row>20</xdr:row>
      <xdr:rowOff>142875</xdr:rowOff>
    </xdr:to>
    <xdr:graphicFrame macro="">
      <xdr:nvGraphicFramePr>
        <xdr:cNvPr id="4" name="Student Attendance Monitoring">
          <a:extLst>
            <a:ext uri="{FF2B5EF4-FFF2-40B4-BE49-F238E27FC236}">
              <a16:creationId xmlns:a16="http://schemas.microsoft.com/office/drawing/2014/main" id="{7B9C5D5E-28EE-43F7-8DAF-4726B776D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28575</xdr:colOff>
      <xdr:row>12</xdr:row>
      <xdr:rowOff>185737</xdr:rowOff>
    </xdr:from>
    <xdr:to>
      <xdr:col>14</xdr:col>
      <xdr:colOff>371475</xdr:colOff>
      <xdr:row>22</xdr:row>
      <xdr:rowOff>180975</xdr:rowOff>
    </xdr:to>
    <xdr:graphicFrame macro="">
      <xdr:nvGraphicFramePr>
        <xdr:cNvPr id="5" name="Study Time Distribution">
          <a:extLst>
            <a:ext uri="{FF2B5EF4-FFF2-40B4-BE49-F238E27FC236}">
              <a16:creationId xmlns:a16="http://schemas.microsoft.com/office/drawing/2014/main" id="{2320FD60-5305-4B85-BC96-680A34BF0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571500</xdr:colOff>
      <xdr:row>21</xdr:row>
      <xdr:rowOff>147638</xdr:rowOff>
    </xdr:from>
    <xdr:to>
      <xdr:col>8</xdr:col>
      <xdr:colOff>514350</xdr:colOff>
      <xdr:row>32</xdr:row>
      <xdr:rowOff>47626</xdr:rowOff>
    </xdr:to>
    <xdr:graphicFrame macro="">
      <xdr:nvGraphicFramePr>
        <xdr:cNvPr id="6" name="Academic Progress Monitoring">
          <a:extLst>
            <a:ext uri="{FF2B5EF4-FFF2-40B4-BE49-F238E27FC236}">
              <a16:creationId xmlns:a16="http://schemas.microsoft.com/office/drawing/2014/main" id="{366D6CB3-2388-4DB0-B340-2B2C162FB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4</xdr:col>
      <xdr:colOff>0</xdr:colOff>
      <xdr:row>17</xdr:row>
      <xdr:rowOff>0</xdr:rowOff>
    </xdr:to>
    <xdr:graphicFrame macro="">
      <xdr:nvGraphicFramePr>
        <xdr:cNvPr id="2" name="Student Performance Distribution">
          <a:extLst>
            <a:ext uri="{FF2B5EF4-FFF2-40B4-BE49-F238E27FC236}">
              <a16:creationId xmlns:a16="http://schemas.microsoft.com/office/drawing/2014/main" id="{5CD39CF7-5450-4A21-920C-F652DD59B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301563</xdr:colOff>
      <xdr:row>18</xdr:row>
      <xdr:rowOff>2053</xdr:rowOff>
    </xdr:from>
    <xdr:to>
      <xdr:col>3</xdr:col>
      <xdr:colOff>434228</xdr:colOff>
      <xdr:row>32</xdr:row>
      <xdr:rowOff>14007</xdr:rowOff>
    </xdr:to>
    <xdr:graphicFrame macro="">
      <xdr:nvGraphicFramePr>
        <xdr:cNvPr id="3" name="Student Risk Status">
          <a:extLst>
            <a:ext uri="{FF2B5EF4-FFF2-40B4-BE49-F238E27FC236}">
              <a16:creationId xmlns:a16="http://schemas.microsoft.com/office/drawing/2014/main" id="{3EC9292C-BADA-49A9-A600-DBD0C54B6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588309</xdr:colOff>
      <xdr:row>17</xdr:row>
      <xdr:rowOff>207932</xdr:rowOff>
    </xdr:from>
    <xdr:to>
      <xdr:col>5</xdr:col>
      <xdr:colOff>1148603</xdr:colOff>
      <xdr:row>32</xdr:row>
      <xdr:rowOff>0</xdr:rowOff>
    </xdr:to>
    <xdr:graphicFrame macro="">
      <xdr:nvGraphicFramePr>
        <xdr:cNvPr id="4" name="Student Attendance Monitoring">
          <a:extLst>
            <a:ext uri="{FF2B5EF4-FFF2-40B4-BE49-F238E27FC236}">
              <a16:creationId xmlns:a16="http://schemas.microsoft.com/office/drawing/2014/main" id="{1767C5CA-CF07-4350-B218-0B05E5D80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1288677</xdr:colOff>
      <xdr:row>17</xdr:row>
      <xdr:rowOff>207932</xdr:rowOff>
    </xdr:from>
    <xdr:to>
      <xdr:col>8</xdr:col>
      <xdr:colOff>1</xdr:colOff>
      <xdr:row>32</xdr:row>
      <xdr:rowOff>14007</xdr:rowOff>
    </xdr:to>
    <xdr:graphicFrame macro="">
      <xdr:nvGraphicFramePr>
        <xdr:cNvPr id="5" name="Study Time Distribution">
          <a:extLst>
            <a:ext uri="{FF2B5EF4-FFF2-40B4-BE49-F238E27FC236}">
              <a16:creationId xmlns:a16="http://schemas.microsoft.com/office/drawing/2014/main" id="{DFF79990-0A5B-449C-9D67-9CAE52500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218576</xdr:colOff>
      <xdr:row>6</xdr:row>
      <xdr:rowOff>0</xdr:rowOff>
    </xdr:from>
    <xdr:to>
      <xdr:col>7</xdr:col>
      <xdr:colOff>2031067</xdr:colOff>
      <xdr:row>17</xdr:row>
      <xdr:rowOff>1</xdr:rowOff>
    </xdr:to>
    <xdr:graphicFrame macro="">
      <xdr:nvGraphicFramePr>
        <xdr:cNvPr id="6" name="Academic Progress Monitoring">
          <a:extLst>
            <a:ext uri="{FF2B5EF4-FFF2-40B4-BE49-F238E27FC236}">
              <a16:creationId xmlns:a16="http://schemas.microsoft.com/office/drawing/2014/main" id="{0347F2E3-7801-4365-93AB-7BE362C00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361353</xdr:colOff>
      <xdr:row>12</xdr:row>
      <xdr:rowOff>174530</xdr:rowOff>
    </xdr:from>
    <xdr:to>
      <xdr:col>11</xdr:col>
      <xdr:colOff>339128</xdr:colOff>
      <xdr:row>18</xdr:row>
      <xdr:rowOff>184054</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57434E60-EFC1-4167-9C25-06EA99737E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920496" y="3535494"/>
              <a:ext cx="1814739" cy="12341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369670</xdr:colOff>
      <xdr:row>20</xdr:row>
      <xdr:rowOff>189737</xdr:rowOff>
    </xdr:from>
    <xdr:to>
      <xdr:col>11</xdr:col>
      <xdr:colOff>356970</xdr:colOff>
      <xdr:row>26</xdr:row>
      <xdr:rowOff>146344</xdr:rowOff>
    </xdr:to>
    <mc:AlternateContent xmlns:mc="http://schemas.openxmlformats.org/markup-compatibility/2006">
      <mc:Choice xmlns:a14="http://schemas.microsoft.com/office/drawing/2010/main" Requires="a14">
        <xdr:graphicFrame macro="">
          <xdr:nvGraphicFramePr>
            <xdr:cNvPr id="8" name="address">
              <a:extLst>
                <a:ext uri="{FF2B5EF4-FFF2-40B4-BE49-F238E27FC236}">
                  <a16:creationId xmlns:a16="http://schemas.microsoft.com/office/drawing/2014/main" id="{3E86ADCA-8CC3-4DC1-A93D-CB35CE7246D5}"/>
                </a:ext>
              </a:extLst>
            </xdr:cNvPr>
            <xdr:cNvGraphicFramePr/>
          </xdr:nvGraphicFramePr>
          <xdr:xfrm>
            <a:off x="0" y="0"/>
            <a:ext cx="0" cy="0"/>
          </xdr:xfrm>
          <a:graphic>
            <a:graphicData uri="http://schemas.microsoft.com/office/drawing/2010/slicer">
              <sle:slicer xmlns:sle="http://schemas.microsoft.com/office/drawing/2010/slicer" name="address"/>
            </a:graphicData>
          </a:graphic>
        </xdr:graphicFrame>
      </mc:Choice>
      <mc:Fallback>
        <xdr:sp macro="" textlink="">
          <xdr:nvSpPr>
            <xdr:cNvPr id="0" name=""/>
            <xdr:cNvSpPr>
              <a:spLocks noTextEdit="1"/>
            </xdr:cNvSpPr>
          </xdr:nvSpPr>
          <xdr:spPr>
            <a:xfrm>
              <a:off x="10928813" y="5183558"/>
              <a:ext cx="1824264" cy="1181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356683</xdr:colOff>
      <xdr:row>4</xdr:row>
      <xdr:rowOff>524755</xdr:rowOff>
    </xdr:from>
    <xdr:to>
      <xdr:col>11</xdr:col>
      <xdr:colOff>343983</xdr:colOff>
      <xdr:row>10</xdr:row>
      <xdr:rowOff>55007</xdr:rowOff>
    </xdr:to>
    <mc:AlternateContent xmlns:mc="http://schemas.openxmlformats.org/markup-compatibility/2006">
      <mc:Choice xmlns:a14="http://schemas.microsoft.com/office/drawing/2010/main" Requires="a14">
        <xdr:graphicFrame macro="">
          <xdr:nvGraphicFramePr>
            <xdr:cNvPr id="9" name="school">
              <a:extLst>
                <a:ext uri="{FF2B5EF4-FFF2-40B4-BE49-F238E27FC236}">
                  <a16:creationId xmlns:a16="http://schemas.microsoft.com/office/drawing/2014/main" id="{C7D6F82B-8F4A-4074-9C5C-5EDBBC00BEBD}"/>
                </a:ext>
              </a:extLst>
            </xdr:cNvPr>
            <xdr:cNvGraphicFramePr/>
          </xdr:nvGraphicFramePr>
          <xdr:xfrm>
            <a:off x="0" y="0"/>
            <a:ext cx="0" cy="0"/>
          </xdr:xfrm>
          <a:graphic>
            <a:graphicData uri="http://schemas.microsoft.com/office/drawing/2010/slicer">
              <sle:slicer xmlns:sle="http://schemas.microsoft.com/office/drawing/2010/slicer" name="school"/>
            </a:graphicData>
          </a:graphic>
        </xdr:graphicFrame>
      </mc:Choice>
      <mc:Fallback>
        <xdr:sp macro="" textlink="">
          <xdr:nvSpPr>
            <xdr:cNvPr id="0" name=""/>
            <xdr:cNvSpPr>
              <a:spLocks noTextEdit="1"/>
            </xdr:cNvSpPr>
          </xdr:nvSpPr>
          <xdr:spPr>
            <a:xfrm>
              <a:off x="10915826" y="1776612"/>
              <a:ext cx="1824264" cy="12311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88.585455092594" backgroundQuery="1" createdVersion="7" refreshedVersion="7" minRefreshableVersion="3" recordCount="0" supportSubquery="1" supportAdvancedDrill="1" xr:uid="{9FCE8DC3-4A6D-4B2C-BB16-F16ADA310CF3}">
  <cacheSource type="external" connectionId="1"/>
  <cacheFields count="3">
    <cacheField name="[Table1].[performance_category].[performance_category]" caption="performance_category" numFmtId="0" hierarchy="29" level="1">
      <sharedItems count="3">
        <s v="At Risk"/>
        <s v="High Performing"/>
        <s v="Moderate"/>
      </sharedItems>
    </cacheField>
    <cacheField name="[Measures].[Count of performance_category]" caption="Count of performance_category" numFmtId="0" hierarchy="37" level="32767"/>
    <cacheField name="[Table1].[gender].[gender]" caption="gender" numFmtId="0" hierarchy="1" level="1">
      <sharedItems containsSemiMixedTypes="0" containsNonDate="0" containsString="0"/>
    </cacheField>
  </cacheFields>
  <cacheHierarchies count="42">
    <cacheHierarchy uniqueName="[Table1].[school]" caption="school" attribute="1" defaultMemberUniqueName="[Table1].[school].[All]" allUniqueName="[Table1].[school].[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2" memberValueDatatype="20" unbalanced="0"/>
    <cacheHierarchy uniqueName="[Table1].[address]" caption="address" attribute="1" defaultMemberUniqueName="[Table1].[address].[All]" allUniqueName="[Table1].[address].[All]" dimensionUniqueName="[Table1]" displayFolder="" count="2" memberValueDatatype="130" unbalanced="0"/>
    <cacheHierarchy uniqueName="[Table1].[famsize]" caption="famsize" attribute="1" defaultMemberUniqueName="[Table1].[famsize].[All]" allUniqueName="[Table1].[famsize].[All]" dimensionUniqueName="[Table1]" displayFolder="" count="2" memberValueDatatype="130" unbalanced="0"/>
    <cacheHierarchy uniqueName="[Table1].[Pstatus]" caption="Pstatus" attribute="1" defaultMemberUniqueName="[Table1].[Pstatus].[All]" allUniqueName="[Table1].[Pstatus].[All]" dimensionUniqueName="[Table1]" displayFolder="" count="2" memberValueDatatype="130" unbalanced="0"/>
    <cacheHierarchy uniqueName="[Table1].[guardian]" caption="guardian" attribute="1" defaultMemberUniqueName="[Table1].[guardian].[All]" allUniqueName="[Table1].[guardian].[All]" dimensionUniqueName="[Table1]" displayFolder="" count="2" memberValueDatatype="130" unbalanced="0"/>
    <cacheHierarchy uniqueName="[Table1].[mother_education]" caption="mother_education" attribute="1" defaultMemberUniqueName="[Table1].[mother_education].[All]" allUniqueName="[Table1].[mother_education].[All]" dimensionUniqueName="[Table1]" displayFolder="" count="2" memberValueDatatype="20" unbalanced="0"/>
    <cacheHierarchy uniqueName="[Table1].[father_education]" caption="father_education" attribute="1" defaultMemberUniqueName="[Table1].[father_education].[All]" allUniqueName="[Table1].[father_education].[All]" dimensionUniqueName="[Table1]" displayFolder="" count="2" memberValueDatatype="20" unbalanced="0"/>
    <cacheHierarchy uniqueName="[Table1].[Mjob]" caption="Mjob" attribute="1" defaultMemberUniqueName="[Table1].[Mjob].[All]" allUniqueName="[Table1].[Mjob].[All]" dimensionUniqueName="[Table1]" displayFolder="" count="2" memberValueDatatype="130" unbalanced="0"/>
    <cacheHierarchy uniqueName="[Table1].[Fjob]" caption="Fjob" attribute="1" defaultMemberUniqueName="[Table1].[Fjob].[All]" allUniqueName="[Table1].[Fjob].[All]" dimensionUniqueName="[Table1]" displayFolder="" count="2" memberValueDatatype="130" unbalanced="0"/>
    <cacheHierarchy uniqueName="[Table1].[study_time]" caption="study_time" attribute="1" defaultMemberUniqueName="[Table1].[study_time].[All]" allUniqueName="[Table1].[study_time].[All]" dimensionUniqueName="[Table1]" displayFolder="" count="2" memberValueDatatype="20" unbalanced="0"/>
    <cacheHierarchy uniqueName="[Table1].[traveltime]" caption="traveltime" attribute="1" defaultMemberUniqueName="[Table1].[traveltime].[All]" allUniqueName="[Table1].[traveltime].[All]" dimensionUniqueName="[Table1]" displayFolder="" count="2" memberValueDatatype="20" unbalanced="0"/>
    <cacheHierarchy uniqueName="[Table1].[schoolsup]" caption="schoolsup" attribute="1" defaultMemberUniqueName="[Table1].[schoolsup].[All]" allUniqueName="[Table1].[schoolsup].[All]" dimensionUniqueName="[Table1]" displayFolder="" count="2" memberValueDatatype="130" unbalanced="0"/>
    <cacheHierarchy uniqueName="[Table1].[famsup]" caption="famsup" attribute="1" defaultMemberUniqueName="[Table1].[famsup].[All]" allUniqueName="[Table1].[famsup].[All]" dimensionUniqueName="[Table1]" displayFolder="" count="2" memberValueDatatype="130" unbalanced="0"/>
    <cacheHierarchy uniqueName="[Table1].[paid]" caption="paid" attribute="1" defaultMemberUniqueName="[Table1].[paid].[All]" allUniqueName="[Table1].[paid].[All]" dimensionUniqueName="[Table1]" displayFolder="" count="2" memberValueDatatype="130" unbalanced="0"/>
    <cacheHierarchy uniqueName="[Table1].[activities]" caption="activities" attribute="1" defaultMemberUniqueName="[Table1].[activities].[All]" allUniqueName="[Table1].[activities].[All]" dimensionUniqueName="[Table1]" displayFolder="" count="2" memberValueDatatype="130" unbalanced="0"/>
    <cacheHierarchy uniqueName="[Table1].[internet]" caption="internet" attribute="1" defaultMemberUniqueName="[Table1].[internet].[All]" allUniqueName="[Table1].[internet].[All]" dimensionUniqueName="[Table1]" displayFolder="" count="2" memberValueDatatype="130" unbalanced="0"/>
    <cacheHierarchy uniqueName="[Table1].[romantic]" caption="romantic" attribute="1" defaultMemberUniqueName="[Table1].[romantic].[All]" allUniqueName="[Table1].[romantic].[All]" dimensionUniqueName="[Table1]" displayFolder="" count="2" memberValueDatatype="130" unbalanced="0"/>
    <cacheHierarchy uniqueName="[Table1].[freetime]" caption="freetime" attribute="1" defaultMemberUniqueName="[Table1].[freetime].[All]" allUniqueName="[Table1].[freetime].[All]" dimensionUniqueName="[Table1]" displayFolder="" count="2" memberValueDatatype="20" unbalanced="0"/>
    <cacheHierarchy uniqueName="[Table1].[goout]" caption="goout" attribute="1" defaultMemberUniqueName="[Table1].[goout].[All]" allUniqueName="[Table1].[goout].[All]" dimensionUniqueName="[Table1]" displayFolder="" count="2" memberValueDatatype="20" unbalanced="0"/>
    <cacheHierarchy uniqueName="[Table1].[Dalc]" caption="Dalc" attribute="1" defaultMemberUniqueName="[Table1].[Dalc].[All]" allUniqueName="[Table1].[Dalc].[All]" dimensionUniqueName="[Table1]" displayFolder="" count="2" memberValueDatatype="20" unbalanced="0"/>
    <cacheHierarchy uniqueName="[Table1].[Walc]" caption="Walc" attribute="1" defaultMemberUniqueName="[Table1].[Walc].[All]" allUniqueName="[Table1].[Walc].[All]" dimensionUniqueName="[Table1]" displayFolder="" count="2" memberValueDatatype="20" unbalanced="0"/>
    <cacheHierarchy uniqueName="[Table1].[health]" caption="health" attribute="1" defaultMemberUniqueName="[Table1].[health].[All]" allUniqueName="[Table1].[health].[All]" dimensionUniqueName="[Table1]" displayFolder="" count="2" memberValueDatatype="20" unbalanced="0"/>
    <cacheHierarchy uniqueName="[Table1].[academic_failures]" caption="academic_failures" attribute="1" defaultMemberUniqueName="[Table1].[academic_failures].[All]" allUniqueName="[Table1].[academic_failures].[All]" dimensionUniqueName="[Table1]" displayFolder="" count="2" memberValueDatatype="20" unbalanced="0"/>
    <cacheHierarchy uniqueName="[Table1].[absences]" caption="absences" attribute="1" defaultMemberUniqueName="[Table1].[absences].[All]" allUniqueName="[Table1].[absences].[All]" dimensionUniqueName="[Table1]" displayFolder="" count="2" memberValueDatatype="20" unbalanced="0"/>
    <cacheHierarchy uniqueName="[Table1].[grade_period1]" caption="grade_period1" attribute="1" defaultMemberUniqueName="[Table1].[grade_period1].[All]" allUniqueName="[Table1].[grade_period1].[All]" dimensionUniqueName="[Table1]" displayFolder="" count="2" memberValueDatatype="20" unbalanced="0"/>
    <cacheHierarchy uniqueName="[Table1].[grade_period2]" caption="grade_period2" attribute="1" defaultMemberUniqueName="[Table1].[grade_period2].[All]" allUniqueName="[Table1].[grade_period2].[All]" dimensionUniqueName="[Table1]" displayFolder="" count="2" memberValueDatatype="20" unbalanced="0"/>
    <cacheHierarchy uniqueName="[Table1].[final_grade]" caption="final_grade" attribute="1" defaultMemberUniqueName="[Table1].[final_grade].[All]" allUniqueName="[Table1].[final_grade].[All]" dimensionUniqueName="[Table1]" displayFolder="" count="2" memberValueDatatype="20" unbalanced="0"/>
    <cacheHierarchy uniqueName="[Table1].[performance_category]" caption="performance_category" attribute="1" defaultMemberUniqueName="[Table1].[performance_category].[All]" allUniqueName="[Table1].[performance_category].[All]" dimensionUniqueName="[Table1]" displayFolder="" count="2" memberValueDatatype="130" unbalanced="0">
      <fieldsUsage count="2">
        <fieldUsage x="-1"/>
        <fieldUsage x="0"/>
      </fieldsUsage>
    </cacheHierarchy>
    <cacheHierarchy uniqueName="[Table1].[risk_flag]" caption="risk_flag" attribute="1" defaultMemberUniqueName="[Table1].[risk_flag].[All]" allUniqueName="[Table1].[risk_flag].[All]" dimensionUniqueName="[Table1]" displayFolder="" count="2" memberValueDatatype="130" unbalanced="0"/>
    <cacheHierarchy uniqueName="[Table1].[absence_level]" caption="absence_level" attribute="1" defaultMemberUniqueName="[Table1].[absence_level].[All]" allUniqueName="[Table1].[absence_level].[All]" dimensionUniqueName="[Table1]" displayFolder="" count="2" memberValueDatatype="130" unbalanced="0"/>
    <cacheHierarchy uniqueName="[Table1].[study_time_category]" caption="study_time_category" attribute="1" defaultMemberUniqueName="[Table1].[study_time_category].[All]" allUniqueName="[Table1].[study_time_category].[All]" dimensionUniqueName="[Table1]" displayFolder="" count="2" memberValueDatatype="130" unbalanced="0"/>
    <cacheHierarchy uniqueName="[Table1].[grade_progress]" caption="grade_progress" attribute="1" defaultMemberUniqueName="[Table1].[grade_progress].[All]" allUniqueName="[Table1].[grade_progress].[All]" dimensionUniqueName="[Table1]" displayFolder="" count="2" memberValueDatatype="20" unbalanced="0"/>
    <cacheHierarchy uniqueName="[Table1].[progress_category]" caption="progress_category" attribute="1" defaultMemberUniqueName="[Table1].[progress_category].[All]" allUniqueName="[Table1].[progress_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erformance_category]" caption="Count of performance_category" measure="1" displayFolder="" measureGroup="Table1"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risk_flag]" caption="Count of risk_flag" measure="1" displayFolder="" measureGroup="Table1" count="0" hidden="1">
      <extLst>
        <ext xmlns:x15="http://schemas.microsoft.com/office/spreadsheetml/2010/11/main" uri="{B97F6D7D-B522-45F9-BDA1-12C45D357490}">
          <x15:cacheHierarchy aggregatedColumn="30"/>
        </ext>
      </extLst>
    </cacheHierarchy>
    <cacheHierarchy uniqueName="[Measures].[Count of absence_level]" caption="Count of absence_level" measure="1" displayFolder="" measureGroup="Table1" count="0" hidden="1">
      <extLst>
        <ext xmlns:x15="http://schemas.microsoft.com/office/spreadsheetml/2010/11/main" uri="{B97F6D7D-B522-45F9-BDA1-12C45D357490}">
          <x15:cacheHierarchy aggregatedColumn="31"/>
        </ext>
      </extLst>
    </cacheHierarchy>
    <cacheHierarchy uniqueName="[Measures].[Count of study_time_category]" caption="Count of study_time_category" measure="1" displayFolder="" measureGroup="Table1" count="0" hidden="1">
      <extLst>
        <ext xmlns:x15="http://schemas.microsoft.com/office/spreadsheetml/2010/11/main" uri="{B97F6D7D-B522-45F9-BDA1-12C45D357490}">
          <x15:cacheHierarchy aggregatedColumn="32"/>
        </ext>
      </extLst>
    </cacheHierarchy>
    <cacheHierarchy uniqueName="[Measures].[Count of progress_category]" caption="Count of progress_category"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88.585455671295" backgroundQuery="1" createdVersion="7" refreshedVersion="7" minRefreshableVersion="3" recordCount="0" supportSubquery="1" supportAdvancedDrill="1" xr:uid="{7BC9A842-2959-48F5-A3AF-040111D79D3C}">
  <cacheSource type="external" connectionId="1"/>
  <cacheFields count="3">
    <cacheField name="[Table1].[risk_flag].[risk_flag]" caption="risk_flag" numFmtId="0" hierarchy="30" level="1">
      <sharedItems count="2">
        <s v="At Risk"/>
        <s v="Normal"/>
      </sharedItems>
    </cacheField>
    <cacheField name="[Measures].[Count of risk_flag]" caption="Count of risk_flag" numFmtId="0" hierarchy="38" level="32767"/>
    <cacheField name="[Table1].[gender].[gender]" caption="gender" numFmtId="0" hierarchy="1" level="1">
      <sharedItems containsSemiMixedTypes="0" containsNonDate="0" containsString="0"/>
    </cacheField>
  </cacheFields>
  <cacheHierarchies count="42">
    <cacheHierarchy uniqueName="[Table1].[school]" caption="school" attribute="1" defaultMemberUniqueName="[Table1].[school].[All]" allUniqueName="[Table1].[school].[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ddress]" caption="address" attribute="1" defaultMemberUniqueName="[Table1].[address].[All]" allUniqueName="[Table1].[address].[All]" dimensionUniqueName="[Table1]" displayFolder="" count="2" memberValueDatatype="130" unbalanced="0"/>
    <cacheHierarchy uniqueName="[Table1].[famsize]" caption="famsize" attribute="1" defaultMemberUniqueName="[Table1].[famsize].[All]" allUniqueName="[Table1].[famsize].[All]" dimensionUniqueName="[Table1]" displayFolder="" count="0" memberValueDatatype="130" unbalanced="0"/>
    <cacheHierarchy uniqueName="[Table1].[Pstatus]" caption="Pstatus" attribute="1" defaultMemberUniqueName="[Table1].[Pstatus].[All]" allUniqueName="[Table1].[Pstatus].[All]" dimensionUniqueName="[Table1]" displayFolder="" count="0" memberValueDatatype="130" unbalanced="0"/>
    <cacheHierarchy uniqueName="[Table1].[guardian]" caption="guardian" attribute="1" defaultMemberUniqueName="[Table1].[guardian].[All]" allUniqueName="[Table1].[guardian].[All]" dimensionUniqueName="[Table1]" displayFolder="" count="0" memberValueDatatype="130" unbalanced="0"/>
    <cacheHierarchy uniqueName="[Table1].[mother_education]" caption="mother_education" attribute="1" defaultMemberUniqueName="[Table1].[mother_education].[All]" allUniqueName="[Table1].[mother_education].[All]" dimensionUniqueName="[Table1]" displayFolder="" count="0" memberValueDatatype="20" unbalanced="0"/>
    <cacheHierarchy uniqueName="[Table1].[father_education]" caption="father_education" attribute="1" defaultMemberUniqueName="[Table1].[father_education].[All]" allUniqueName="[Table1].[father_education].[All]" dimensionUniqueName="[Table1]" displayFolder="" count="0" memberValueDatatype="20" unbalanced="0"/>
    <cacheHierarchy uniqueName="[Table1].[Mjob]" caption="Mjob" attribute="1" defaultMemberUniqueName="[Table1].[Mjob].[All]" allUniqueName="[Table1].[Mjob].[All]" dimensionUniqueName="[Table1]" displayFolder="" count="0" memberValueDatatype="130" unbalanced="0"/>
    <cacheHierarchy uniqueName="[Table1].[Fjob]" caption="Fjob" attribute="1" defaultMemberUniqueName="[Table1].[Fjob].[All]" allUniqueName="[Table1].[Fjob].[All]" dimensionUniqueName="[Table1]" displayFolder="" count="0" memberValueDatatype="130" unbalanced="0"/>
    <cacheHierarchy uniqueName="[Table1].[study_time]" caption="study_time" attribute="1" defaultMemberUniqueName="[Table1].[study_time].[All]" allUniqueName="[Table1].[study_time].[All]" dimensionUniqueName="[Table1]" displayFolder="" count="0" memberValueDatatype="20" unbalanced="0"/>
    <cacheHierarchy uniqueName="[Table1].[traveltime]" caption="traveltime" attribute="1" defaultMemberUniqueName="[Table1].[traveltime].[All]" allUniqueName="[Table1].[traveltime].[All]" dimensionUniqueName="[Table1]" displayFolder="" count="0" memberValueDatatype="20" unbalanced="0"/>
    <cacheHierarchy uniqueName="[Table1].[schoolsup]" caption="schoolsup" attribute="1" defaultMemberUniqueName="[Table1].[schoolsup].[All]" allUniqueName="[Table1].[schoolsup].[All]" dimensionUniqueName="[Table1]" displayFolder="" count="0" memberValueDatatype="130" unbalanced="0"/>
    <cacheHierarchy uniqueName="[Table1].[famsup]" caption="famsup" attribute="1" defaultMemberUniqueName="[Table1].[famsup].[All]" allUniqueName="[Table1].[famsup].[All]" dimensionUniqueName="[Table1]" displayFolder="" count="0" memberValueDatatype="130" unbalanced="0"/>
    <cacheHierarchy uniqueName="[Table1].[paid]" caption="paid" attribute="1" defaultMemberUniqueName="[Table1].[paid].[All]" allUniqueName="[Table1].[paid].[All]" dimensionUniqueName="[Table1]" displayFolder="" count="0" memberValueDatatype="130" unbalanced="0"/>
    <cacheHierarchy uniqueName="[Table1].[activities]" caption="activities" attribute="1" defaultMemberUniqueName="[Table1].[activities].[All]" allUniqueName="[Table1].[activities].[All]" dimensionUniqueName="[Table1]" displayFolder="" count="0" memberValueDatatype="130" unbalanced="0"/>
    <cacheHierarchy uniqueName="[Table1].[internet]" caption="internet" attribute="1" defaultMemberUniqueName="[Table1].[internet].[All]" allUniqueName="[Table1].[internet].[All]" dimensionUniqueName="[Table1]" displayFolder="" count="0" memberValueDatatype="130" unbalanced="0"/>
    <cacheHierarchy uniqueName="[Table1].[romantic]" caption="romantic" attribute="1" defaultMemberUniqueName="[Table1].[romantic].[All]" allUniqueName="[Table1].[romantic].[All]" dimensionUniqueName="[Table1]" displayFolder="" count="0" memberValueDatatype="130" unbalanced="0"/>
    <cacheHierarchy uniqueName="[Table1].[freetime]" caption="freetime" attribute="1" defaultMemberUniqueName="[Table1].[freetime].[All]" allUniqueName="[Table1].[freetime].[All]" dimensionUniqueName="[Table1]" displayFolder="" count="0" memberValueDatatype="20" unbalanced="0"/>
    <cacheHierarchy uniqueName="[Table1].[goout]" caption="goout" attribute="1" defaultMemberUniqueName="[Table1].[goout].[All]" allUniqueName="[Table1].[goout].[All]" dimensionUniqueName="[Table1]" displayFolder="" count="0" memberValueDatatype="20" unbalanced="0"/>
    <cacheHierarchy uniqueName="[Table1].[Dalc]" caption="Dalc" attribute="1" defaultMemberUniqueName="[Table1].[Dalc].[All]" allUniqueName="[Table1].[Dalc].[All]" dimensionUniqueName="[Table1]" displayFolder="" count="0" memberValueDatatype="20" unbalanced="0"/>
    <cacheHierarchy uniqueName="[Table1].[Walc]" caption="Walc" attribute="1" defaultMemberUniqueName="[Table1].[Walc].[All]" allUniqueName="[Table1].[Walc].[All]" dimensionUniqueName="[Table1]" displayFolder="" count="0" memberValueDatatype="20" unbalanced="0"/>
    <cacheHierarchy uniqueName="[Table1].[health]" caption="health" attribute="1" defaultMemberUniqueName="[Table1].[health].[All]" allUniqueName="[Table1].[health].[All]" dimensionUniqueName="[Table1]" displayFolder="" count="0" memberValueDatatype="20" unbalanced="0"/>
    <cacheHierarchy uniqueName="[Table1].[academic_failures]" caption="academic_failures" attribute="1" defaultMemberUniqueName="[Table1].[academic_failures].[All]" allUniqueName="[Table1].[academic_failures].[All]" dimensionUniqueName="[Table1]" displayFolder="" count="0" memberValueDatatype="20" unbalanced="0"/>
    <cacheHierarchy uniqueName="[Table1].[absences]" caption="absences" attribute="1" defaultMemberUniqueName="[Table1].[absences].[All]" allUniqueName="[Table1].[absences].[All]" dimensionUniqueName="[Table1]" displayFolder="" count="0" memberValueDatatype="20" unbalanced="0"/>
    <cacheHierarchy uniqueName="[Table1].[grade_period1]" caption="grade_period1" attribute="1" defaultMemberUniqueName="[Table1].[grade_period1].[All]" allUniqueName="[Table1].[grade_period1].[All]" dimensionUniqueName="[Table1]" displayFolder="" count="0" memberValueDatatype="20" unbalanced="0"/>
    <cacheHierarchy uniqueName="[Table1].[grade_period2]" caption="grade_period2" attribute="1" defaultMemberUniqueName="[Table1].[grade_period2].[All]" allUniqueName="[Table1].[grade_period2].[All]" dimensionUniqueName="[Table1]" displayFolder="" count="0" memberValueDatatype="20" unbalanced="0"/>
    <cacheHierarchy uniqueName="[Table1].[final_grade]" caption="final_grade" attribute="1" defaultMemberUniqueName="[Table1].[final_grade].[All]" allUniqueName="[Table1].[final_grade].[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risk_flag]" caption="risk_flag" attribute="1" defaultMemberUniqueName="[Table1].[risk_flag].[All]" allUniqueName="[Table1].[risk_flag].[All]" dimensionUniqueName="[Table1]" displayFolder="" count="2" memberValueDatatype="130" unbalanced="0">
      <fieldsUsage count="2">
        <fieldUsage x="-1"/>
        <fieldUsage x="0"/>
      </fieldsUsage>
    </cacheHierarchy>
    <cacheHierarchy uniqueName="[Table1].[absence_level]" caption="absence_level" attribute="1" defaultMemberUniqueName="[Table1].[absence_level].[All]" allUniqueName="[Table1].[absence_level].[All]" dimensionUniqueName="[Table1]" displayFolder="" count="0" memberValueDatatype="130" unbalanced="0"/>
    <cacheHierarchy uniqueName="[Table1].[study_time_category]" caption="study_time_category" attribute="1" defaultMemberUniqueName="[Table1].[study_time_category].[All]" allUniqueName="[Table1].[study_time_category].[All]" dimensionUniqueName="[Table1]" displayFolder="" count="0" memberValueDatatype="130" unbalanced="0"/>
    <cacheHierarchy uniqueName="[Table1].[grade_progress]" caption="grade_progress" attribute="1" defaultMemberUniqueName="[Table1].[grade_progress].[All]" allUniqueName="[Table1].[grade_progress].[All]" dimensionUniqueName="[Table1]" displayFolder="" count="0" memberValueDatatype="20" unbalanced="0"/>
    <cacheHierarchy uniqueName="[Table1].[progress_category]" caption="progress_category" attribute="1" defaultMemberUniqueName="[Table1].[progress_category].[All]" allUniqueName="[Table1].[progress_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erformance_category]" caption="Count of performance_category" measure="1" displayFolder="" measureGroup="Table1" count="0" hidden="1">
      <extLst>
        <ext xmlns:x15="http://schemas.microsoft.com/office/spreadsheetml/2010/11/main" uri="{B97F6D7D-B522-45F9-BDA1-12C45D357490}">
          <x15:cacheHierarchy aggregatedColumn="29"/>
        </ext>
      </extLst>
    </cacheHierarchy>
    <cacheHierarchy uniqueName="[Measures].[Count of risk_flag]" caption="Count of risk_flag" measure="1" displayFolder="" measureGroup="Table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absence_level]" caption="Count of absence_level" measure="1" displayFolder="" measureGroup="Table1" count="0" hidden="1">
      <extLst>
        <ext xmlns:x15="http://schemas.microsoft.com/office/spreadsheetml/2010/11/main" uri="{B97F6D7D-B522-45F9-BDA1-12C45D357490}">
          <x15:cacheHierarchy aggregatedColumn="31"/>
        </ext>
      </extLst>
    </cacheHierarchy>
    <cacheHierarchy uniqueName="[Measures].[Count of study_time_category]" caption="Count of study_time_category" measure="1" displayFolder="" measureGroup="Table1" count="0" hidden="1">
      <extLst>
        <ext xmlns:x15="http://schemas.microsoft.com/office/spreadsheetml/2010/11/main" uri="{B97F6D7D-B522-45F9-BDA1-12C45D357490}">
          <x15:cacheHierarchy aggregatedColumn="32"/>
        </ext>
      </extLst>
    </cacheHierarchy>
    <cacheHierarchy uniqueName="[Measures].[Count of progress_category]" caption="Count of progress_category"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88.585456018518" backgroundQuery="1" createdVersion="7" refreshedVersion="7" minRefreshableVersion="3" recordCount="0" supportSubquery="1" supportAdvancedDrill="1" xr:uid="{5F904A4D-0D8B-412D-9FD4-F4D9AE117D53}">
  <cacheSource type="external" connectionId="1"/>
  <cacheFields count="3">
    <cacheField name="[Table1].[absence_level].[absence_level]" caption="absence_level" numFmtId="0" hierarchy="31" level="1">
      <sharedItems count="3">
        <s v="High"/>
        <s v="Low"/>
        <s v="Moderate"/>
      </sharedItems>
    </cacheField>
    <cacheField name="[Measures].[Count of absence_level]" caption="Count of absence_level" numFmtId="0" hierarchy="39" level="32767"/>
    <cacheField name="[Table1].[gender].[gender]" caption="gender" numFmtId="0" hierarchy="1" level="1">
      <sharedItems containsSemiMixedTypes="0" containsNonDate="0" containsString="0"/>
    </cacheField>
  </cacheFields>
  <cacheHierarchies count="42">
    <cacheHierarchy uniqueName="[Table1].[school]" caption="school" attribute="1" defaultMemberUniqueName="[Table1].[school].[All]" allUniqueName="[Table1].[school].[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ddress]" caption="address" attribute="1" defaultMemberUniqueName="[Table1].[address].[All]" allUniqueName="[Table1].[address].[All]" dimensionUniqueName="[Table1]" displayFolder="" count="2" memberValueDatatype="130" unbalanced="0"/>
    <cacheHierarchy uniqueName="[Table1].[famsize]" caption="famsize" attribute="1" defaultMemberUniqueName="[Table1].[famsize].[All]" allUniqueName="[Table1].[famsize].[All]" dimensionUniqueName="[Table1]" displayFolder="" count="0" memberValueDatatype="130" unbalanced="0"/>
    <cacheHierarchy uniqueName="[Table1].[Pstatus]" caption="Pstatus" attribute="1" defaultMemberUniqueName="[Table1].[Pstatus].[All]" allUniqueName="[Table1].[Pstatus].[All]" dimensionUniqueName="[Table1]" displayFolder="" count="0" memberValueDatatype="130" unbalanced="0"/>
    <cacheHierarchy uniqueName="[Table1].[guardian]" caption="guardian" attribute="1" defaultMemberUniqueName="[Table1].[guardian].[All]" allUniqueName="[Table1].[guardian].[All]" dimensionUniqueName="[Table1]" displayFolder="" count="0" memberValueDatatype="130" unbalanced="0"/>
    <cacheHierarchy uniqueName="[Table1].[mother_education]" caption="mother_education" attribute="1" defaultMemberUniqueName="[Table1].[mother_education].[All]" allUniqueName="[Table1].[mother_education].[All]" dimensionUniqueName="[Table1]" displayFolder="" count="0" memberValueDatatype="20" unbalanced="0"/>
    <cacheHierarchy uniqueName="[Table1].[father_education]" caption="father_education" attribute="1" defaultMemberUniqueName="[Table1].[father_education].[All]" allUniqueName="[Table1].[father_education].[All]" dimensionUniqueName="[Table1]" displayFolder="" count="0" memberValueDatatype="20" unbalanced="0"/>
    <cacheHierarchy uniqueName="[Table1].[Mjob]" caption="Mjob" attribute="1" defaultMemberUniqueName="[Table1].[Mjob].[All]" allUniqueName="[Table1].[Mjob].[All]" dimensionUniqueName="[Table1]" displayFolder="" count="0" memberValueDatatype="130" unbalanced="0"/>
    <cacheHierarchy uniqueName="[Table1].[Fjob]" caption="Fjob" attribute="1" defaultMemberUniqueName="[Table1].[Fjob].[All]" allUniqueName="[Table1].[Fjob].[All]" dimensionUniqueName="[Table1]" displayFolder="" count="0" memberValueDatatype="130" unbalanced="0"/>
    <cacheHierarchy uniqueName="[Table1].[study_time]" caption="study_time" attribute="1" defaultMemberUniqueName="[Table1].[study_time].[All]" allUniqueName="[Table1].[study_time].[All]" dimensionUniqueName="[Table1]" displayFolder="" count="0" memberValueDatatype="20" unbalanced="0"/>
    <cacheHierarchy uniqueName="[Table1].[traveltime]" caption="traveltime" attribute="1" defaultMemberUniqueName="[Table1].[traveltime].[All]" allUniqueName="[Table1].[traveltime].[All]" dimensionUniqueName="[Table1]" displayFolder="" count="0" memberValueDatatype="20" unbalanced="0"/>
    <cacheHierarchy uniqueName="[Table1].[schoolsup]" caption="schoolsup" attribute="1" defaultMemberUniqueName="[Table1].[schoolsup].[All]" allUniqueName="[Table1].[schoolsup].[All]" dimensionUniqueName="[Table1]" displayFolder="" count="0" memberValueDatatype="130" unbalanced="0"/>
    <cacheHierarchy uniqueName="[Table1].[famsup]" caption="famsup" attribute="1" defaultMemberUniqueName="[Table1].[famsup].[All]" allUniqueName="[Table1].[famsup].[All]" dimensionUniqueName="[Table1]" displayFolder="" count="0" memberValueDatatype="130" unbalanced="0"/>
    <cacheHierarchy uniqueName="[Table1].[paid]" caption="paid" attribute="1" defaultMemberUniqueName="[Table1].[paid].[All]" allUniqueName="[Table1].[paid].[All]" dimensionUniqueName="[Table1]" displayFolder="" count="0" memberValueDatatype="130" unbalanced="0"/>
    <cacheHierarchy uniqueName="[Table1].[activities]" caption="activities" attribute="1" defaultMemberUniqueName="[Table1].[activities].[All]" allUniqueName="[Table1].[activities].[All]" dimensionUniqueName="[Table1]" displayFolder="" count="0" memberValueDatatype="130" unbalanced="0"/>
    <cacheHierarchy uniqueName="[Table1].[internet]" caption="internet" attribute="1" defaultMemberUniqueName="[Table1].[internet].[All]" allUniqueName="[Table1].[internet].[All]" dimensionUniqueName="[Table1]" displayFolder="" count="0" memberValueDatatype="130" unbalanced="0"/>
    <cacheHierarchy uniqueName="[Table1].[romantic]" caption="romantic" attribute="1" defaultMemberUniqueName="[Table1].[romantic].[All]" allUniqueName="[Table1].[romantic].[All]" dimensionUniqueName="[Table1]" displayFolder="" count="0" memberValueDatatype="130" unbalanced="0"/>
    <cacheHierarchy uniqueName="[Table1].[freetime]" caption="freetime" attribute="1" defaultMemberUniqueName="[Table1].[freetime].[All]" allUniqueName="[Table1].[freetime].[All]" dimensionUniqueName="[Table1]" displayFolder="" count="0" memberValueDatatype="20" unbalanced="0"/>
    <cacheHierarchy uniqueName="[Table1].[goout]" caption="goout" attribute="1" defaultMemberUniqueName="[Table1].[goout].[All]" allUniqueName="[Table1].[goout].[All]" dimensionUniqueName="[Table1]" displayFolder="" count="0" memberValueDatatype="20" unbalanced="0"/>
    <cacheHierarchy uniqueName="[Table1].[Dalc]" caption="Dalc" attribute="1" defaultMemberUniqueName="[Table1].[Dalc].[All]" allUniqueName="[Table1].[Dalc].[All]" dimensionUniqueName="[Table1]" displayFolder="" count="0" memberValueDatatype="20" unbalanced="0"/>
    <cacheHierarchy uniqueName="[Table1].[Walc]" caption="Walc" attribute="1" defaultMemberUniqueName="[Table1].[Walc].[All]" allUniqueName="[Table1].[Walc].[All]" dimensionUniqueName="[Table1]" displayFolder="" count="0" memberValueDatatype="20" unbalanced="0"/>
    <cacheHierarchy uniqueName="[Table1].[health]" caption="health" attribute="1" defaultMemberUniqueName="[Table1].[health].[All]" allUniqueName="[Table1].[health].[All]" dimensionUniqueName="[Table1]" displayFolder="" count="0" memberValueDatatype="20" unbalanced="0"/>
    <cacheHierarchy uniqueName="[Table1].[academic_failures]" caption="academic_failures" attribute="1" defaultMemberUniqueName="[Table1].[academic_failures].[All]" allUniqueName="[Table1].[academic_failures].[All]" dimensionUniqueName="[Table1]" displayFolder="" count="0" memberValueDatatype="20" unbalanced="0"/>
    <cacheHierarchy uniqueName="[Table1].[absences]" caption="absences" attribute="1" defaultMemberUniqueName="[Table1].[absences].[All]" allUniqueName="[Table1].[absences].[All]" dimensionUniqueName="[Table1]" displayFolder="" count="0" memberValueDatatype="20" unbalanced="0"/>
    <cacheHierarchy uniqueName="[Table1].[grade_period1]" caption="grade_period1" attribute="1" defaultMemberUniqueName="[Table1].[grade_period1].[All]" allUniqueName="[Table1].[grade_period1].[All]" dimensionUniqueName="[Table1]" displayFolder="" count="0" memberValueDatatype="20" unbalanced="0"/>
    <cacheHierarchy uniqueName="[Table1].[grade_period2]" caption="grade_period2" attribute="1" defaultMemberUniqueName="[Table1].[grade_period2].[All]" allUniqueName="[Table1].[grade_period2].[All]" dimensionUniqueName="[Table1]" displayFolder="" count="0" memberValueDatatype="20" unbalanced="0"/>
    <cacheHierarchy uniqueName="[Table1].[final_grade]" caption="final_grade" attribute="1" defaultMemberUniqueName="[Table1].[final_grade].[All]" allUniqueName="[Table1].[final_grade].[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risk_flag]" caption="risk_flag" attribute="1" defaultMemberUniqueName="[Table1].[risk_flag].[All]" allUniqueName="[Table1].[risk_flag].[All]" dimensionUniqueName="[Table1]" displayFolder="" count="0" memberValueDatatype="130" unbalanced="0"/>
    <cacheHierarchy uniqueName="[Table1].[absence_level]" caption="absence_level" attribute="1" defaultMemberUniqueName="[Table1].[absence_level].[All]" allUniqueName="[Table1].[absence_level].[All]" dimensionUniqueName="[Table1]" displayFolder="" count="2" memberValueDatatype="130" unbalanced="0">
      <fieldsUsage count="2">
        <fieldUsage x="-1"/>
        <fieldUsage x="0"/>
      </fieldsUsage>
    </cacheHierarchy>
    <cacheHierarchy uniqueName="[Table1].[study_time_category]" caption="study_time_category" attribute="1" defaultMemberUniqueName="[Table1].[study_time_category].[All]" allUniqueName="[Table1].[study_time_category].[All]" dimensionUniqueName="[Table1]" displayFolder="" count="0" memberValueDatatype="130" unbalanced="0"/>
    <cacheHierarchy uniqueName="[Table1].[grade_progress]" caption="grade_progress" attribute="1" defaultMemberUniqueName="[Table1].[grade_progress].[All]" allUniqueName="[Table1].[grade_progress].[All]" dimensionUniqueName="[Table1]" displayFolder="" count="0" memberValueDatatype="20" unbalanced="0"/>
    <cacheHierarchy uniqueName="[Table1].[progress_category]" caption="progress_category" attribute="1" defaultMemberUniqueName="[Table1].[progress_category].[All]" allUniqueName="[Table1].[progress_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erformance_category]" caption="Count of performance_category" measure="1" displayFolder="" measureGroup="Table1" count="0" hidden="1">
      <extLst>
        <ext xmlns:x15="http://schemas.microsoft.com/office/spreadsheetml/2010/11/main" uri="{B97F6D7D-B522-45F9-BDA1-12C45D357490}">
          <x15:cacheHierarchy aggregatedColumn="29"/>
        </ext>
      </extLst>
    </cacheHierarchy>
    <cacheHierarchy uniqueName="[Measures].[Count of risk_flag]" caption="Count of risk_flag" measure="1" displayFolder="" measureGroup="Table1" count="0" hidden="1">
      <extLst>
        <ext xmlns:x15="http://schemas.microsoft.com/office/spreadsheetml/2010/11/main" uri="{B97F6D7D-B522-45F9-BDA1-12C45D357490}">
          <x15:cacheHierarchy aggregatedColumn="30"/>
        </ext>
      </extLst>
    </cacheHierarchy>
    <cacheHierarchy uniqueName="[Measures].[Count of absence_level]" caption="Count of absence_level" measure="1" displayFolder="" measureGroup="Table1"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study_time_category]" caption="Count of study_time_category" measure="1" displayFolder="" measureGroup="Table1" count="0" hidden="1">
      <extLst>
        <ext xmlns:x15="http://schemas.microsoft.com/office/spreadsheetml/2010/11/main" uri="{B97F6D7D-B522-45F9-BDA1-12C45D357490}">
          <x15:cacheHierarchy aggregatedColumn="32"/>
        </ext>
      </extLst>
    </cacheHierarchy>
    <cacheHierarchy uniqueName="[Measures].[Count of progress_category]" caption="Count of progress_category"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88.585456365741" backgroundQuery="1" createdVersion="7" refreshedVersion="7" minRefreshableVersion="3" recordCount="0" supportSubquery="1" supportAdvancedDrill="1" xr:uid="{B07541B8-C070-4C78-B6D7-0DE54292145D}">
  <cacheSource type="external" connectionId="1"/>
  <cacheFields count="3">
    <cacheField name="[Table1].[study_time_category].[study_time_category]" caption="study_time_category" numFmtId="0" hierarchy="32" level="1">
      <sharedItems count="4">
        <s v="&lt;2 hours"/>
        <s v="&gt;10 hours"/>
        <s v="2-5 hours"/>
        <s v="5-10 hours"/>
      </sharedItems>
    </cacheField>
    <cacheField name="[Measures].[Count of study_time_category]" caption="Count of study_time_category" numFmtId="0" hierarchy="40" level="32767"/>
    <cacheField name="[Table1].[gender].[gender]" caption="gender" numFmtId="0" hierarchy="1" level="1">
      <sharedItems containsSemiMixedTypes="0" containsNonDate="0" containsString="0"/>
    </cacheField>
  </cacheFields>
  <cacheHierarchies count="42">
    <cacheHierarchy uniqueName="[Table1].[school]" caption="school" attribute="1" defaultMemberUniqueName="[Table1].[school].[All]" allUniqueName="[Table1].[school].[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ddress]" caption="address" attribute="1" defaultMemberUniqueName="[Table1].[address].[All]" allUniqueName="[Table1].[address].[All]" dimensionUniqueName="[Table1]" displayFolder="" count="2" memberValueDatatype="130" unbalanced="0"/>
    <cacheHierarchy uniqueName="[Table1].[famsize]" caption="famsize" attribute="1" defaultMemberUniqueName="[Table1].[famsize].[All]" allUniqueName="[Table1].[famsize].[All]" dimensionUniqueName="[Table1]" displayFolder="" count="0" memberValueDatatype="130" unbalanced="0"/>
    <cacheHierarchy uniqueName="[Table1].[Pstatus]" caption="Pstatus" attribute="1" defaultMemberUniqueName="[Table1].[Pstatus].[All]" allUniqueName="[Table1].[Pstatus].[All]" dimensionUniqueName="[Table1]" displayFolder="" count="0" memberValueDatatype="130" unbalanced="0"/>
    <cacheHierarchy uniqueName="[Table1].[guardian]" caption="guardian" attribute="1" defaultMemberUniqueName="[Table1].[guardian].[All]" allUniqueName="[Table1].[guardian].[All]" dimensionUniqueName="[Table1]" displayFolder="" count="0" memberValueDatatype="130" unbalanced="0"/>
    <cacheHierarchy uniqueName="[Table1].[mother_education]" caption="mother_education" attribute="1" defaultMemberUniqueName="[Table1].[mother_education].[All]" allUniqueName="[Table1].[mother_education].[All]" dimensionUniqueName="[Table1]" displayFolder="" count="0" memberValueDatatype="20" unbalanced="0"/>
    <cacheHierarchy uniqueName="[Table1].[father_education]" caption="father_education" attribute="1" defaultMemberUniqueName="[Table1].[father_education].[All]" allUniqueName="[Table1].[father_education].[All]" dimensionUniqueName="[Table1]" displayFolder="" count="0" memberValueDatatype="20" unbalanced="0"/>
    <cacheHierarchy uniqueName="[Table1].[Mjob]" caption="Mjob" attribute="1" defaultMemberUniqueName="[Table1].[Mjob].[All]" allUniqueName="[Table1].[Mjob].[All]" dimensionUniqueName="[Table1]" displayFolder="" count="0" memberValueDatatype="130" unbalanced="0"/>
    <cacheHierarchy uniqueName="[Table1].[Fjob]" caption="Fjob" attribute="1" defaultMemberUniqueName="[Table1].[Fjob].[All]" allUniqueName="[Table1].[Fjob].[All]" dimensionUniqueName="[Table1]" displayFolder="" count="0" memberValueDatatype="130" unbalanced="0"/>
    <cacheHierarchy uniqueName="[Table1].[study_time]" caption="study_time" attribute="1" defaultMemberUniqueName="[Table1].[study_time].[All]" allUniqueName="[Table1].[study_time].[All]" dimensionUniqueName="[Table1]" displayFolder="" count="0" memberValueDatatype="20" unbalanced="0"/>
    <cacheHierarchy uniqueName="[Table1].[traveltime]" caption="traveltime" attribute="1" defaultMemberUniqueName="[Table1].[traveltime].[All]" allUniqueName="[Table1].[traveltime].[All]" dimensionUniqueName="[Table1]" displayFolder="" count="0" memberValueDatatype="20" unbalanced="0"/>
    <cacheHierarchy uniqueName="[Table1].[schoolsup]" caption="schoolsup" attribute="1" defaultMemberUniqueName="[Table1].[schoolsup].[All]" allUniqueName="[Table1].[schoolsup].[All]" dimensionUniqueName="[Table1]" displayFolder="" count="0" memberValueDatatype="130" unbalanced="0"/>
    <cacheHierarchy uniqueName="[Table1].[famsup]" caption="famsup" attribute="1" defaultMemberUniqueName="[Table1].[famsup].[All]" allUniqueName="[Table1].[famsup].[All]" dimensionUniqueName="[Table1]" displayFolder="" count="0" memberValueDatatype="130" unbalanced="0"/>
    <cacheHierarchy uniqueName="[Table1].[paid]" caption="paid" attribute="1" defaultMemberUniqueName="[Table1].[paid].[All]" allUniqueName="[Table1].[paid].[All]" dimensionUniqueName="[Table1]" displayFolder="" count="0" memberValueDatatype="130" unbalanced="0"/>
    <cacheHierarchy uniqueName="[Table1].[activities]" caption="activities" attribute="1" defaultMemberUniqueName="[Table1].[activities].[All]" allUniqueName="[Table1].[activities].[All]" dimensionUniqueName="[Table1]" displayFolder="" count="0" memberValueDatatype="130" unbalanced="0"/>
    <cacheHierarchy uniqueName="[Table1].[internet]" caption="internet" attribute="1" defaultMemberUniqueName="[Table1].[internet].[All]" allUniqueName="[Table1].[internet].[All]" dimensionUniqueName="[Table1]" displayFolder="" count="0" memberValueDatatype="130" unbalanced="0"/>
    <cacheHierarchy uniqueName="[Table1].[romantic]" caption="romantic" attribute="1" defaultMemberUniqueName="[Table1].[romantic].[All]" allUniqueName="[Table1].[romantic].[All]" dimensionUniqueName="[Table1]" displayFolder="" count="0" memberValueDatatype="130" unbalanced="0"/>
    <cacheHierarchy uniqueName="[Table1].[freetime]" caption="freetime" attribute="1" defaultMemberUniqueName="[Table1].[freetime].[All]" allUniqueName="[Table1].[freetime].[All]" dimensionUniqueName="[Table1]" displayFolder="" count="0" memberValueDatatype="20" unbalanced="0"/>
    <cacheHierarchy uniqueName="[Table1].[goout]" caption="goout" attribute="1" defaultMemberUniqueName="[Table1].[goout].[All]" allUniqueName="[Table1].[goout].[All]" dimensionUniqueName="[Table1]" displayFolder="" count="0" memberValueDatatype="20" unbalanced="0"/>
    <cacheHierarchy uniqueName="[Table1].[Dalc]" caption="Dalc" attribute="1" defaultMemberUniqueName="[Table1].[Dalc].[All]" allUniqueName="[Table1].[Dalc].[All]" dimensionUniqueName="[Table1]" displayFolder="" count="0" memberValueDatatype="20" unbalanced="0"/>
    <cacheHierarchy uniqueName="[Table1].[Walc]" caption="Walc" attribute="1" defaultMemberUniqueName="[Table1].[Walc].[All]" allUniqueName="[Table1].[Walc].[All]" dimensionUniqueName="[Table1]" displayFolder="" count="0" memberValueDatatype="20" unbalanced="0"/>
    <cacheHierarchy uniqueName="[Table1].[health]" caption="health" attribute="1" defaultMemberUniqueName="[Table1].[health].[All]" allUniqueName="[Table1].[health].[All]" dimensionUniqueName="[Table1]" displayFolder="" count="0" memberValueDatatype="20" unbalanced="0"/>
    <cacheHierarchy uniqueName="[Table1].[academic_failures]" caption="academic_failures" attribute="1" defaultMemberUniqueName="[Table1].[academic_failures].[All]" allUniqueName="[Table1].[academic_failures].[All]" dimensionUniqueName="[Table1]" displayFolder="" count="0" memberValueDatatype="20" unbalanced="0"/>
    <cacheHierarchy uniqueName="[Table1].[absences]" caption="absences" attribute="1" defaultMemberUniqueName="[Table1].[absences].[All]" allUniqueName="[Table1].[absences].[All]" dimensionUniqueName="[Table1]" displayFolder="" count="0" memberValueDatatype="20" unbalanced="0"/>
    <cacheHierarchy uniqueName="[Table1].[grade_period1]" caption="grade_period1" attribute="1" defaultMemberUniqueName="[Table1].[grade_period1].[All]" allUniqueName="[Table1].[grade_period1].[All]" dimensionUniqueName="[Table1]" displayFolder="" count="0" memberValueDatatype="20" unbalanced="0"/>
    <cacheHierarchy uniqueName="[Table1].[grade_period2]" caption="grade_period2" attribute="1" defaultMemberUniqueName="[Table1].[grade_period2].[All]" allUniqueName="[Table1].[grade_period2].[All]" dimensionUniqueName="[Table1]" displayFolder="" count="0" memberValueDatatype="20" unbalanced="0"/>
    <cacheHierarchy uniqueName="[Table1].[final_grade]" caption="final_grade" attribute="1" defaultMemberUniqueName="[Table1].[final_grade].[All]" allUniqueName="[Table1].[final_grade].[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risk_flag]" caption="risk_flag" attribute="1" defaultMemberUniqueName="[Table1].[risk_flag].[All]" allUniqueName="[Table1].[risk_flag].[All]" dimensionUniqueName="[Table1]" displayFolder="" count="0" memberValueDatatype="130" unbalanced="0"/>
    <cacheHierarchy uniqueName="[Table1].[absence_level]" caption="absence_level" attribute="1" defaultMemberUniqueName="[Table1].[absence_level].[All]" allUniqueName="[Table1].[absence_level].[All]" dimensionUniqueName="[Table1]" displayFolder="" count="0" memberValueDatatype="130" unbalanced="0"/>
    <cacheHierarchy uniqueName="[Table1].[study_time_category]" caption="study_time_category" attribute="1" defaultMemberUniqueName="[Table1].[study_time_category].[All]" allUniqueName="[Table1].[study_time_category].[All]" dimensionUniqueName="[Table1]" displayFolder="" count="2" memberValueDatatype="130" unbalanced="0">
      <fieldsUsage count="2">
        <fieldUsage x="-1"/>
        <fieldUsage x="0"/>
      </fieldsUsage>
    </cacheHierarchy>
    <cacheHierarchy uniqueName="[Table1].[grade_progress]" caption="grade_progress" attribute="1" defaultMemberUniqueName="[Table1].[grade_progress].[All]" allUniqueName="[Table1].[grade_progress].[All]" dimensionUniqueName="[Table1]" displayFolder="" count="0" memberValueDatatype="20" unbalanced="0"/>
    <cacheHierarchy uniqueName="[Table1].[progress_category]" caption="progress_category" attribute="1" defaultMemberUniqueName="[Table1].[progress_category].[All]" allUniqueName="[Table1].[progress_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erformance_category]" caption="Count of performance_category" measure="1" displayFolder="" measureGroup="Table1" count="0" hidden="1">
      <extLst>
        <ext xmlns:x15="http://schemas.microsoft.com/office/spreadsheetml/2010/11/main" uri="{B97F6D7D-B522-45F9-BDA1-12C45D357490}">
          <x15:cacheHierarchy aggregatedColumn="29"/>
        </ext>
      </extLst>
    </cacheHierarchy>
    <cacheHierarchy uniqueName="[Measures].[Count of risk_flag]" caption="Count of risk_flag" measure="1" displayFolder="" measureGroup="Table1" count="0" hidden="1">
      <extLst>
        <ext xmlns:x15="http://schemas.microsoft.com/office/spreadsheetml/2010/11/main" uri="{B97F6D7D-B522-45F9-BDA1-12C45D357490}">
          <x15:cacheHierarchy aggregatedColumn="30"/>
        </ext>
      </extLst>
    </cacheHierarchy>
    <cacheHierarchy uniqueName="[Measures].[Count of absence_level]" caption="Count of absence_level" measure="1" displayFolder="" measureGroup="Table1" count="0" hidden="1">
      <extLst>
        <ext xmlns:x15="http://schemas.microsoft.com/office/spreadsheetml/2010/11/main" uri="{B97F6D7D-B522-45F9-BDA1-12C45D357490}">
          <x15:cacheHierarchy aggregatedColumn="31"/>
        </ext>
      </extLst>
    </cacheHierarchy>
    <cacheHierarchy uniqueName="[Measures].[Count of study_time_category]" caption="Count of study_time_category" measure="1" displayFolder="" measureGroup="Table1"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progress_category]" caption="Count of progress_category"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88.585456712965" backgroundQuery="1" createdVersion="7" refreshedVersion="7" minRefreshableVersion="3" recordCount="0" supportSubquery="1" supportAdvancedDrill="1" xr:uid="{A87C8BE1-5CA0-42FB-8D75-113FA4F9B877}">
  <cacheSource type="external" connectionId="1"/>
  <cacheFields count="3">
    <cacheField name="[Table1].[progress_category].[progress_category]" caption="progress_category" numFmtId="0" hierarchy="34" level="1">
      <sharedItems count="3">
        <s v="Declined"/>
        <s v="Improved"/>
        <s v="Stable"/>
      </sharedItems>
    </cacheField>
    <cacheField name="[Measures].[Count of progress_category]" caption="Count of progress_category" numFmtId="0" hierarchy="41" level="32767"/>
    <cacheField name="[Table1].[gender].[gender]" caption="gender" numFmtId="0" hierarchy="1" level="1">
      <sharedItems containsSemiMixedTypes="0" containsNonDate="0" containsString="0"/>
    </cacheField>
  </cacheFields>
  <cacheHierarchies count="42">
    <cacheHierarchy uniqueName="[Table1].[school]" caption="school" attribute="1" defaultMemberUniqueName="[Table1].[school].[All]" allUniqueName="[Table1].[school].[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ddress]" caption="address" attribute="1" defaultMemberUniqueName="[Table1].[address].[All]" allUniqueName="[Table1].[address].[All]" dimensionUniqueName="[Table1]" displayFolder="" count="2" memberValueDatatype="130" unbalanced="0"/>
    <cacheHierarchy uniqueName="[Table1].[famsize]" caption="famsize" attribute="1" defaultMemberUniqueName="[Table1].[famsize].[All]" allUniqueName="[Table1].[famsize].[All]" dimensionUniqueName="[Table1]" displayFolder="" count="0" memberValueDatatype="130" unbalanced="0"/>
    <cacheHierarchy uniqueName="[Table1].[Pstatus]" caption="Pstatus" attribute="1" defaultMemberUniqueName="[Table1].[Pstatus].[All]" allUniqueName="[Table1].[Pstatus].[All]" dimensionUniqueName="[Table1]" displayFolder="" count="0" memberValueDatatype="130" unbalanced="0"/>
    <cacheHierarchy uniqueName="[Table1].[guardian]" caption="guardian" attribute="1" defaultMemberUniqueName="[Table1].[guardian].[All]" allUniqueName="[Table1].[guardian].[All]" dimensionUniqueName="[Table1]" displayFolder="" count="0" memberValueDatatype="130" unbalanced="0"/>
    <cacheHierarchy uniqueName="[Table1].[mother_education]" caption="mother_education" attribute="1" defaultMemberUniqueName="[Table1].[mother_education].[All]" allUniqueName="[Table1].[mother_education].[All]" dimensionUniqueName="[Table1]" displayFolder="" count="0" memberValueDatatype="20" unbalanced="0"/>
    <cacheHierarchy uniqueName="[Table1].[father_education]" caption="father_education" attribute="1" defaultMemberUniqueName="[Table1].[father_education].[All]" allUniqueName="[Table1].[father_education].[All]" dimensionUniqueName="[Table1]" displayFolder="" count="0" memberValueDatatype="20" unbalanced="0"/>
    <cacheHierarchy uniqueName="[Table1].[Mjob]" caption="Mjob" attribute="1" defaultMemberUniqueName="[Table1].[Mjob].[All]" allUniqueName="[Table1].[Mjob].[All]" dimensionUniqueName="[Table1]" displayFolder="" count="0" memberValueDatatype="130" unbalanced="0"/>
    <cacheHierarchy uniqueName="[Table1].[Fjob]" caption="Fjob" attribute="1" defaultMemberUniqueName="[Table1].[Fjob].[All]" allUniqueName="[Table1].[Fjob].[All]" dimensionUniqueName="[Table1]" displayFolder="" count="0" memberValueDatatype="130" unbalanced="0"/>
    <cacheHierarchy uniqueName="[Table1].[study_time]" caption="study_time" attribute="1" defaultMemberUniqueName="[Table1].[study_time].[All]" allUniqueName="[Table1].[study_time].[All]" dimensionUniqueName="[Table1]" displayFolder="" count="0" memberValueDatatype="20" unbalanced="0"/>
    <cacheHierarchy uniqueName="[Table1].[traveltime]" caption="traveltime" attribute="1" defaultMemberUniqueName="[Table1].[traveltime].[All]" allUniqueName="[Table1].[traveltime].[All]" dimensionUniqueName="[Table1]" displayFolder="" count="0" memberValueDatatype="20" unbalanced="0"/>
    <cacheHierarchy uniqueName="[Table1].[schoolsup]" caption="schoolsup" attribute="1" defaultMemberUniqueName="[Table1].[schoolsup].[All]" allUniqueName="[Table1].[schoolsup].[All]" dimensionUniqueName="[Table1]" displayFolder="" count="0" memberValueDatatype="130" unbalanced="0"/>
    <cacheHierarchy uniqueName="[Table1].[famsup]" caption="famsup" attribute="1" defaultMemberUniqueName="[Table1].[famsup].[All]" allUniqueName="[Table1].[famsup].[All]" dimensionUniqueName="[Table1]" displayFolder="" count="0" memberValueDatatype="130" unbalanced="0"/>
    <cacheHierarchy uniqueName="[Table1].[paid]" caption="paid" attribute="1" defaultMemberUniqueName="[Table1].[paid].[All]" allUniqueName="[Table1].[paid].[All]" dimensionUniqueName="[Table1]" displayFolder="" count="0" memberValueDatatype="130" unbalanced="0"/>
    <cacheHierarchy uniqueName="[Table1].[activities]" caption="activities" attribute="1" defaultMemberUniqueName="[Table1].[activities].[All]" allUniqueName="[Table1].[activities].[All]" dimensionUniqueName="[Table1]" displayFolder="" count="0" memberValueDatatype="130" unbalanced="0"/>
    <cacheHierarchy uniqueName="[Table1].[internet]" caption="internet" attribute="1" defaultMemberUniqueName="[Table1].[internet].[All]" allUniqueName="[Table1].[internet].[All]" dimensionUniqueName="[Table1]" displayFolder="" count="0" memberValueDatatype="130" unbalanced="0"/>
    <cacheHierarchy uniqueName="[Table1].[romantic]" caption="romantic" attribute="1" defaultMemberUniqueName="[Table1].[romantic].[All]" allUniqueName="[Table1].[romantic].[All]" dimensionUniqueName="[Table1]" displayFolder="" count="0" memberValueDatatype="130" unbalanced="0"/>
    <cacheHierarchy uniqueName="[Table1].[freetime]" caption="freetime" attribute="1" defaultMemberUniqueName="[Table1].[freetime].[All]" allUniqueName="[Table1].[freetime].[All]" dimensionUniqueName="[Table1]" displayFolder="" count="0" memberValueDatatype="20" unbalanced="0"/>
    <cacheHierarchy uniqueName="[Table1].[goout]" caption="goout" attribute="1" defaultMemberUniqueName="[Table1].[goout].[All]" allUniqueName="[Table1].[goout].[All]" dimensionUniqueName="[Table1]" displayFolder="" count="0" memberValueDatatype="20" unbalanced="0"/>
    <cacheHierarchy uniqueName="[Table1].[Dalc]" caption="Dalc" attribute="1" defaultMemberUniqueName="[Table1].[Dalc].[All]" allUniqueName="[Table1].[Dalc].[All]" dimensionUniqueName="[Table1]" displayFolder="" count="0" memberValueDatatype="20" unbalanced="0"/>
    <cacheHierarchy uniqueName="[Table1].[Walc]" caption="Walc" attribute="1" defaultMemberUniqueName="[Table1].[Walc].[All]" allUniqueName="[Table1].[Walc].[All]" dimensionUniqueName="[Table1]" displayFolder="" count="0" memberValueDatatype="20" unbalanced="0"/>
    <cacheHierarchy uniqueName="[Table1].[health]" caption="health" attribute="1" defaultMemberUniqueName="[Table1].[health].[All]" allUniqueName="[Table1].[health].[All]" dimensionUniqueName="[Table1]" displayFolder="" count="0" memberValueDatatype="20" unbalanced="0"/>
    <cacheHierarchy uniqueName="[Table1].[academic_failures]" caption="academic_failures" attribute="1" defaultMemberUniqueName="[Table1].[academic_failures].[All]" allUniqueName="[Table1].[academic_failures].[All]" dimensionUniqueName="[Table1]" displayFolder="" count="0" memberValueDatatype="20" unbalanced="0"/>
    <cacheHierarchy uniqueName="[Table1].[absences]" caption="absences" attribute="1" defaultMemberUniqueName="[Table1].[absences].[All]" allUniqueName="[Table1].[absences].[All]" dimensionUniqueName="[Table1]" displayFolder="" count="0" memberValueDatatype="20" unbalanced="0"/>
    <cacheHierarchy uniqueName="[Table1].[grade_period1]" caption="grade_period1" attribute="1" defaultMemberUniqueName="[Table1].[grade_period1].[All]" allUniqueName="[Table1].[grade_period1].[All]" dimensionUniqueName="[Table1]" displayFolder="" count="0" memberValueDatatype="20" unbalanced="0"/>
    <cacheHierarchy uniqueName="[Table1].[grade_period2]" caption="grade_period2" attribute="1" defaultMemberUniqueName="[Table1].[grade_period2].[All]" allUniqueName="[Table1].[grade_period2].[All]" dimensionUniqueName="[Table1]" displayFolder="" count="0" memberValueDatatype="20" unbalanced="0"/>
    <cacheHierarchy uniqueName="[Table1].[final_grade]" caption="final_grade" attribute="1" defaultMemberUniqueName="[Table1].[final_grade].[All]" allUniqueName="[Table1].[final_grade].[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risk_flag]" caption="risk_flag" attribute="1" defaultMemberUniqueName="[Table1].[risk_flag].[All]" allUniqueName="[Table1].[risk_flag].[All]" dimensionUniqueName="[Table1]" displayFolder="" count="0" memberValueDatatype="130" unbalanced="0"/>
    <cacheHierarchy uniqueName="[Table1].[absence_level]" caption="absence_level" attribute="1" defaultMemberUniqueName="[Table1].[absence_level].[All]" allUniqueName="[Table1].[absence_level].[All]" dimensionUniqueName="[Table1]" displayFolder="" count="0" memberValueDatatype="130" unbalanced="0"/>
    <cacheHierarchy uniqueName="[Table1].[study_time_category]" caption="study_time_category" attribute="1" defaultMemberUniqueName="[Table1].[study_time_category].[All]" allUniqueName="[Table1].[study_time_category].[All]" dimensionUniqueName="[Table1]" displayFolder="" count="0" memberValueDatatype="130" unbalanced="0"/>
    <cacheHierarchy uniqueName="[Table1].[grade_progress]" caption="grade_progress" attribute="1" defaultMemberUniqueName="[Table1].[grade_progress].[All]" allUniqueName="[Table1].[grade_progress].[All]" dimensionUniqueName="[Table1]" displayFolder="" count="0" memberValueDatatype="20" unbalanced="0"/>
    <cacheHierarchy uniqueName="[Table1].[progress_category]" caption="progress_category" attribute="1" defaultMemberUniqueName="[Table1].[progress_category].[All]" allUniqueName="[Table1].[progress_category].[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erformance_category]" caption="Count of performance_category" measure="1" displayFolder="" measureGroup="Table1" count="0" hidden="1">
      <extLst>
        <ext xmlns:x15="http://schemas.microsoft.com/office/spreadsheetml/2010/11/main" uri="{B97F6D7D-B522-45F9-BDA1-12C45D357490}">
          <x15:cacheHierarchy aggregatedColumn="29"/>
        </ext>
      </extLst>
    </cacheHierarchy>
    <cacheHierarchy uniqueName="[Measures].[Count of risk_flag]" caption="Count of risk_flag" measure="1" displayFolder="" measureGroup="Table1" count="0" hidden="1">
      <extLst>
        <ext xmlns:x15="http://schemas.microsoft.com/office/spreadsheetml/2010/11/main" uri="{B97F6D7D-B522-45F9-BDA1-12C45D357490}">
          <x15:cacheHierarchy aggregatedColumn="30"/>
        </ext>
      </extLst>
    </cacheHierarchy>
    <cacheHierarchy uniqueName="[Measures].[Count of absence_level]" caption="Count of absence_level" measure="1" displayFolder="" measureGroup="Table1" count="0" hidden="1">
      <extLst>
        <ext xmlns:x15="http://schemas.microsoft.com/office/spreadsheetml/2010/11/main" uri="{B97F6D7D-B522-45F9-BDA1-12C45D357490}">
          <x15:cacheHierarchy aggregatedColumn="31"/>
        </ext>
      </extLst>
    </cacheHierarchy>
    <cacheHierarchy uniqueName="[Measures].[Count of study_time_category]" caption="Count of study_time_category" measure="1" displayFolder="" measureGroup="Table1" count="0" hidden="1">
      <extLst>
        <ext xmlns:x15="http://schemas.microsoft.com/office/spreadsheetml/2010/11/main" uri="{B97F6D7D-B522-45F9-BDA1-12C45D357490}">
          <x15:cacheHierarchy aggregatedColumn="32"/>
        </ext>
      </extLst>
    </cacheHierarchy>
    <cacheHierarchy uniqueName="[Measures].[Count of progress_category]" caption="Count of progress_category"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88.558779976855" backgroundQuery="1" createdVersion="3" refreshedVersion="7" minRefreshableVersion="3" recordCount="0" supportSubquery="1" supportAdvancedDrill="1" xr:uid="{83E3A88B-E7FD-43E1-BB4F-7FE2644ED586}">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Table1].[school]" caption="school" attribute="1" defaultMemberUniqueName="[Table1].[school].[All]" allUniqueName="[Table1].[school].[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ddress]" caption="address" attribute="1" defaultMemberUniqueName="[Table1].[address].[All]" allUniqueName="[Table1].[address].[All]" dimensionUniqueName="[Table1]" displayFolder="" count="2" memberValueDatatype="130" unbalanced="0"/>
    <cacheHierarchy uniqueName="[Table1].[famsize]" caption="famsize" attribute="1" defaultMemberUniqueName="[Table1].[famsize].[All]" allUniqueName="[Table1].[famsize].[All]" dimensionUniqueName="[Table1]" displayFolder="" count="0" memberValueDatatype="130" unbalanced="0"/>
    <cacheHierarchy uniqueName="[Table1].[Pstatus]" caption="Pstatus" attribute="1" defaultMemberUniqueName="[Table1].[Pstatus].[All]" allUniqueName="[Table1].[Pstatus].[All]" dimensionUniqueName="[Table1]" displayFolder="" count="0" memberValueDatatype="130" unbalanced="0"/>
    <cacheHierarchy uniqueName="[Table1].[guardian]" caption="guardian" attribute="1" defaultMemberUniqueName="[Table1].[guardian].[All]" allUniqueName="[Table1].[guardian].[All]" dimensionUniqueName="[Table1]" displayFolder="" count="0" memberValueDatatype="130" unbalanced="0"/>
    <cacheHierarchy uniqueName="[Table1].[mother_education]" caption="mother_education" attribute="1" defaultMemberUniqueName="[Table1].[mother_education].[All]" allUniqueName="[Table1].[mother_education].[All]" dimensionUniqueName="[Table1]" displayFolder="" count="0" memberValueDatatype="20" unbalanced="0"/>
    <cacheHierarchy uniqueName="[Table1].[father_education]" caption="father_education" attribute="1" defaultMemberUniqueName="[Table1].[father_education].[All]" allUniqueName="[Table1].[father_education].[All]" dimensionUniqueName="[Table1]" displayFolder="" count="0" memberValueDatatype="20" unbalanced="0"/>
    <cacheHierarchy uniqueName="[Table1].[Mjob]" caption="Mjob" attribute="1" defaultMemberUniqueName="[Table1].[Mjob].[All]" allUniqueName="[Table1].[Mjob].[All]" dimensionUniqueName="[Table1]" displayFolder="" count="0" memberValueDatatype="130" unbalanced="0"/>
    <cacheHierarchy uniqueName="[Table1].[Fjob]" caption="Fjob" attribute="1" defaultMemberUniqueName="[Table1].[Fjob].[All]" allUniqueName="[Table1].[Fjob].[All]" dimensionUniqueName="[Table1]" displayFolder="" count="0" memberValueDatatype="130" unbalanced="0"/>
    <cacheHierarchy uniqueName="[Table1].[study_time]" caption="study_time" attribute="1" defaultMemberUniqueName="[Table1].[study_time].[All]" allUniqueName="[Table1].[study_time].[All]" dimensionUniqueName="[Table1]" displayFolder="" count="0" memberValueDatatype="20" unbalanced="0"/>
    <cacheHierarchy uniqueName="[Table1].[traveltime]" caption="traveltime" attribute="1" defaultMemberUniqueName="[Table1].[traveltime].[All]" allUniqueName="[Table1].[traveltime].[All]" dimensionUniqueName="[Table1]" displayFolder="" count="0" memberValueDatatype="20" unbalanced="0"/>
    <cacheHierarchy uniqueName="[Table1].[schoolsup]" caption="schoolsup" attribute="1" defaultMemberUniqueName="[Table1].[schoolsup].[All]" allUniqueName="[Table1].[schoolsup].[All]" dimensionUniqueName="[Table1]" displayFolder="" count="0" memberValueDatatype="130" unbalanced="0"/>
    <cacheHierarchy uniqueName="[Table1].[famsup]" caption="famsup" attribute="1" defaultMemberUniqueName="[Table1].[famsup].[All]" allUniqueName="[Table1].[famsup].[All]" dimensionUniqueName="[Table1]" displayFolder="" count="0" memberValueDatatype="130" unbalanced="0"/>
    <cacheHierarchy uniqueName="[Table1].[paid]" caption="paid" attribute="1" defaultMemberUniqueName="[Table1].[paid].[All]" allUniqueName="[Table1].[paid].[All]" dimensionUniqueName="[Table1]" displayFolder="" count="0" memberValueDatatype="130" unbalanced="0"/>
    <cacheHierarchy uniqueName="[Table1].[activities]" caption="activities" attribute="1" defaultMemberUniqueName="[Table1].[activities].[All]" allUniqueName="[Table1].[activities].[All]" dimensionUniqueName="[Table1]" displayFolder="" count="0" memberValueDatatype="130" unbalanced="0"/>
    <cacheHierarchy uniqueName="[Table1].[internet]" caption="internet" attribute="1" defaultMemberUniqueName="[Table1].[internet].[All]" allUniqueName="[Table1].[internet].[All]" dimensionUniqueName="[Table1]" displayFolder="" count="0" memberValueDatatype="130" unbalanced="0"/>
    <cacheHierarchy uniqueName="[Table1].[romantic]" caption="romantic" attribute="1" defaultMemberUniqueName="[Table1].[romantic].[All]" allUniqueName="[Table1].[romantic].[All]" dimensionUniqueName="[Table1]" displayFolder="" count="0" memberValueDatatype="130" unbalanced="0"/>
    <cacheHierarchy uniqueName="[Table1].[freetime]" caption="freetime" attribute="1" defaultMemberUniqueName="[Table1].[freetime].[All]" allUniqueName="[Table1].[freetime].[All]" dimensionUniqueName="[Table1]" displayFolder="" count="0" memberValueDatatype="20" unbalanced="0"/>
    <cacheHierarchy uniqueName="[Table1].[goout]" caption="goout" attribute="1" defaultMemberUniqueName="[Table1].[goout].[All]" allUniqueName="[Table1].[goout].[All]" dimensionUniqueName="[Table1]" displayFolder="" count="0" memberValueDatatype="20" unbalanced="0"/>
    <cacheHierarchy uniqueName="[Table1].[Dalc]" caption="Dalc" attribute="1" defaultMemberUniqueName="[Table1].[Dalc].[All]" allUniqueName="[Table1].[Dalc].[All]" dimensionUniqueName="[Table1]" displayFolder="" count="0" memberValueDatatype="20" unbalanced="0"/>
    <cacheHierarchy uniqueName="[Table1].[Walc]" caption="Walc" attribute="1" defaultMemberUniqueName="[Table1].[Walc].[All]" allUniqueName="[Table1].[Walc].[All]" dimensionUniqueName="[Table1]" displayFolder="" count="0" memberValueDatatype="20" unbalanced="0"/>
    <cacheHierarchy uniqueName="[Table1].[health]" caption="health" attribute="1" defaultMemberUniqueName="[Table1].[health].[All]" allUniqueName="[Table1].[health].[All]" dimensionUniqueName="[Table1]" displayFolder="" count="0" memberValueDatatype="20" unbalanced="0"/>
    <cacheHierarchy uniqueName="[Table1].[academic_failures]" caption="academic_failures" attribute="1" defaultMemberUniqueName="[Table1].[academic_failures].[All]" allUniqueName="[Table1].[academic_failures].[All]" dimensionUniqueName="[Table1]" displayFolder="" count="0" memberValueDatatype="20" unbalanced="0"/>
    <cacheHierarchy uniqueName="[Table1].[absences]" caption="absences" attribute="1" defaultMemberUniqueName="[Table1].[absences].[All]" allUniqueName="[Table1].[absences].[All]" dimensionUniqueName="[Table1]" displayFolder="" count="0" memberValueDatatype="20" unbalanced="0"/>
    <cacheHierarchy uniqueName="[Table1].[grade_period1]" caption="grade_period1" attribute="1" defaultMemberUniqueName="[Table1].[grade_period1].[All]" allUniqueName="[Table1].[grade_period1].[All]" dimensionUniqueName="[Table1]" displayFolder="" count="0" memberValueDatatype="20" unbalanced="0"/>
    <cacheHierarchy uniqueName="[Table1].[grade_period2]" caption="grade_period2" attribute="1" defaultMemberUniqueName="[Table1].[grade_period2].[All]" allUniqueName="[Table1].[grade_period2].[All]" dimensionUniqueName="[Table1]" displayFolder="" count="0" memberValueDatatype="20" unbalanced="0"/>
    <cacheHierarchy uniqueName="[Table1].[final_grade]" caption="final_grade" attribute="1" defaultMemberUniqueName="[Table1].[final_grade].[All]" allUniqueName="[Table1].[final_grade].[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risk_flag]" caption="risk_flag" attribute="1" defaultMemberUniqueName="[Table1].[risk_flag].[All]" allUniqueName="[Table1].[risk_flag].[All]" dimensionUniqueName="[Table1]" displayFolder="" count="0" memberValueDatatype="130" unbalanced="0"/>
    <cacheHierarchy uniqueName="[Table1].[absence_level]" caption="absence_level" attribute="1" defaultMemberUniqueName="[Table1].[absence_level].[All]" allUniqueName="[Table1].[absence_level].[All]" dimensionUniqueName="[Table1]" displayFolder="" count="0" memberValueDatatype="130" unbalanced="0"/>
    <cacheHierarchy uniqueName="[Table1].[study_time_category]" caption="study_time_category" attribute="1" defaultMemberUniqueName="[Table1].[study_time_category].[All]" allUniqueName="[Table1].[study_time_category].[All]" dimensionUniqueName="[Table1]" displayFolder="" count="0" memberValueDatatype="130" unbalanced="0"/>
    <cacheHierarchy uniqueName="[Table1].[grade_progress]" caption="grade_progress" attribute="1" defaultMemberUniqueName="[Table1].[grade_progress].[All]" allUniqueName="[Table1].[grade_progress].[All]" dimensionUniqueName="[Table1]" displayFolder="" count="0" memberValueDatatype="20" unbalanced="0"/>
    <cacheHierarchy uniqueName="[Table1].[progress_category]" caption="progress_category" attribute="1" defaultMemberUniqueName="[Table1].[progress_category].[All]" allUniqueName="[Table1].[progress_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erformance_category]" caption="Count of performance_category" measure="1" displayFolder="" measureGroup="Table1" count="0" hidden="1">
      <extLst>
        <ext xmlns:x15="http://schemas.microsoft.com/office/spreadsheetml/2010/11/main" uri="{B97F6D7D-B522-45F9-BDA1-12C45D357490}">
          <x15:cacheHierarchy aggregatedColumn="29"/>
        </ext>
      </extLst>
    </cacheHierarchy>
    <cacheHierarchy uniqueName="[Measures].[Count of risk_flag]" caption="Count of risk_flag" measure="1" displayFolder="" measureGroup="Table1" count="0" hidden="1">
      <extLst>
        <ext xmlns:x15="http://schemas.microsoft.com/office/spreadsheetml/2010/11/main" uri="{B97F6D7D-B522-45F9-BDA1-12C45D357490}">
          <x15:cacheHierarchy aggregatedColumn="30"/>
        </ext>
      </extLst>
    </cacheHierarchy>
    <cacheHierarchy uniqueName="[Measures].[Count of absence_level]" caption="Count of absence_level" measure="1" displayFolder="" measureGroup="Table1" count="0" hidden="1">
      <extLst>
        <ext xmlns:x15="http://schemas.microsoft.com/office/spreadsheetml/2010/11/main" uri="{B97F6D7D-B522-45F9-BDA1-12C45D357490}">
          <x15:cacheHierarchy aggregatedColumn="31"/>
        </ext>
      </extLst>
    </cacheHierarchy>
    <cacheHierarchy uniqueName="[Measures].[Count of study_time_category]" caption="Count of study_time_category" measure="1" displayFolder="" measureGroup="Table1" count="0" hidden="1">
      <extLst>
        <ext xmlns:x15="http://schemas.microsoft.com/office/spreadsheetml/2010/11/main" uri="{B97F6D7D-B522-45F9-BDA1-12C45D357490}">
          <x15:cacheHierarchy aggregatedColumn="32"/>
        </ext>
      </extLst>
    </cacheHierarchy>
    <cacheHierarchy uniqueName="[Measures].[Count of progress_category]" caption="Count of progress_category" measure="1" displayFolder="" measureGroup="Table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503747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D5367-0973-4D22-A4A3-59B4EFA1B1D8}" name="PivotTable5" cacheId="29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0:B3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Pivot_Progress"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2">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Pivot_Progress"/>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onitoring_dashboard_data - Cop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F8C119-E563-4D2A-A405-CECBC8371D27}" name="PivotTable4" cacheId="28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B2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Pivot_StudyTim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2">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Pivot_StudyTime"/>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onitoring_dashboard_data - Cop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05DD7A-7D98-4B98-84A3-CCFC3BBE1176}" name="PivotTable3" cacheId="28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5:B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Pivot_Absenc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2">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ivot_Absence"/>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onitoring_dashboard_data - Cop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09064E-E714-4563-8B45-11E467E2CE24}" name="PivotTable2" cacheId="28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B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tudent Risk Monitoring" fld="1"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2">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tudent Risk Monitor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onitoring_dashboard_data - Cop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5C7FD0-A38A-4BAC-9114-35B1CF36CC60}" name="PivotTable1"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B6" firstHeaderRow="1" firstDataRow="1" firstDataCol="1"/>
  <pivotFields count="3">
    <pivotField axis="axisRow" allDrilled="1" subtotalTop="0" showAll="0" defaultSubtotal="0" defaultAttributeDrillState="1">
      <items count="3">
        <item x="1"/>
        <item x="2"/>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Pivot_Performance" fld="1" subtotal="count" baseField="0" baseItem="1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2">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ivot_Performa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onitoring_dashboard_data - Cop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46E4C79-5956-47CC-B504-AACAB32494ED}" sourceName="[Table1].[gender]">
  <pivotTables>
    <pivotTable tabId="3" name="PivotTable1"/>
    <pivotTable tabId="3" name="PivotTable2"/>
    <pivotTable tabId="3" name="PivotTable3"/>
    <pivotTable tabId="3" name="PivotTable4"/>
    <pivotTable tabId="3" name="PivotTable5"/>
  </pivotTables>
  <data>
    <olap pivotCacheId="50374759">
      <levels count="2">
        <level uniqueName="[Table1].[gender].[(All)]" sourceCaption="(All)" count="0"/>
        <level uniqueName="[Table1].[gender].[gender]" sourceCaption="gender" count="3" sortOrder="ascending">
          <ranges>
            <range startItem="0">
              <i n="[Table1].[gender].&amp;[F]" c="F"/>
              <i n="[Table1].[gender].&amp;[M]" c="M"/>
              <i n="[Table1].[gender].&amp;" c="(blank)" nd="1"/>
            </range>
          </ranges>
        </level>
      </levels>
      <selections count="1">
        <selection n="[Table1].[gender].[All]"/>
      </selections>
    </olap>
  </data>
  <extLst>
    <x:ext xmlns:x15="http://schemas.microsoft.com/office/spreadsheetml/2010/11/main" uri="{470722E0-AACD-4C17-9CDC-17EF765DBC7E}">
      <x15:slicerCacheHideItemsWithNoData count="1">
        <x15:slicerCacheOlapLevelName uniqueName="[Table1].[gender].[gende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ress" xr10:uid="{9006E1D3-573D-4578-B802-BCB0C6B0A13C}" sourceName="[Table1].[address]">
  <pivotTables>
    <pivotTable tabId="3" name="PivotTable1"/>
    <pivotTable tabId="3" name="PivotTable2"/>
    <pivotTable tabId="3" name="PivotTable3"/>
    <pivotTable tabId="3" name="PivotTable4"/>
    <pivotTable tabId="3" name="PivotTable5"/>
  </pivotTables>
  <data>
    <olap pivotCacheId="50374759">
      <levels count="2">
        <level uniqueName="[Table1].[address].[(All)]" sourceCaption="(All)" count="0"/>
        <level uniqueName="[Table1].[address].[address]" sourceCaption="address" count="3" sortOrder="ascending">
          <ranges>
            <range startItem="0">
              <i n="[Table1].[address].&amp;[R]" c="R"/>
              <i n="[Table1].[address].&amp;[U]" c="U"/>
              <i n="[Table1].[address].&amp;" c="(blank)" nd="1"/>
            </range>
          </ranges>
        </level>
      </levels>
      <selections count="1">
        <selection n="[Table1].[address].[All]"/>
      </selections>
    </olap>
  </data>
  <extLst>
    <x:ext xmlns:x15="http://schemas.microsoft.com/office/spreadsheetml/2010/11/main" uri="{470722E0-AACD-4C17-9CDC-17EF765DBC7E}">
      <x15:slicerCacheHideItemsWithNoData count="1">
        <x15:slicerCacheOlapLevelName uniqueName="[Table1].[address].[address]"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 xr10:uid="{260F3C13-1739-408D-BD59-42A5B31AD227}" sourceName="[Table1].[school]">
  <pivotTables>
    <pivotTable tabId="3" name="PivotTable1"/>
    <pivotTable tabId="3" name="PivotTable2"/>
    <pivotTable tabId="3" name="PivotTable3"/>
    <pivotTable tabId="3" name="PivotTable4"/>
    <pivotTable tabId="3" name="PivotTable5"/>
  </pivotTables>
  <data>
    <olap pivotCacheId="50374759">
      <levels count="2">
        <level uniqueName="[Table1].[school].[(All)]" sourceCaption="(All)" count="0"/>
        <level uniqueName="[Table1].[school].[school]" sourceCaption="school" count="3" sortOrder="ascending">
          <ranges>
            <range startItem="0">
              <i n="[Table1].[school].&amp;[GP]" c="GP"/>
              <i n="[Table1].[school].&amp;[MS]" c="MS"/>
              <i n="[Table1].[school].&amp;" c="(blank)" nd="1"/>
            </range>
          </ranges>
        </level>
      </levels>
      <selections count="1">
        <selection n="[Table1].[school].[All]"/>
      </selections>
    </olap>
  </data>
  <extLst>
    <x:ext xmlns:x15="http://schemas.microsoft.com/office/spreadsheetml/2010/11/main" uri="{470722E0-AACD-4C17-9CDC-17EF765DBC7E}">
      <x15:slicerCacheHideItemsWithNoData count="1">
        <x15:slicerCacheOlapLevelName uniqueName="[Table1].[school].[school]"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3DCFE37-73AE-4754-8F26-37481C485BB1}" cache="Slicer_gender" caption="Gender" level="1" style="SlicerStyleOther2" rowHeight="241300"/>
  <slicer name="address" xr10:uid="{33F3A88E-A4E0-4045-B591-3356858F0832}" cache="Slicer_address" caption="Address" level="1" style="SlicerStyleOther2" rowHeight="241300"/>
  <slicer name="school" xr10:uid="{F48A22DA-8F23-43D0-A1DF-8DF49FADEC86}" cache="Slicer_school" caption="School"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1954EE-B197-477C-83C7-42B66ADC978D}" name="student_data" displayName="student_data" ref="A1:AI1048576" totalsRowShown="0" headerRowDxfId="0" headerRowBorderDxfId="1" tableBorderDxfId="2">
  <tableColumns count="35">
    <tableColumn id="1" xr3:uid="{1C7A23F6-E833-4078-820A-2B8DD1D68C2D}" name="school"/>
    <tableColumn id="2" xr3:uid="{00FD50A0-E0B5-40D9-91EC-B94E0BBD6CA3}" name="gender"/>
    <tableColumn id="3" xr3:uid="{1486E7B8-6167-4D6C-8FB8-291FC836A1BC}" name="age"/>
    <tableColumn id="4" xr3:uid="{0F3BD28A-980A-4737-8B74-F8F8326BF9AE}" name="address"/>
    <tableColumn id="5" xr3:uid="{3A80444D-838C-4180-BF60-9C043014976C}" name="famsize"/>
    <tableColumn id="6" xr3:uid="{3B38BEC1-9E5B-4A12-BAC1-AA4A821E7E26}" name="Pstatus"/>
    <tableColumn id="7" xr3:uid="{BF89AE32-D047-4034-8E81-78F05D494328}" name="guardian"/>
    <tableColumn id="8" xr3:uid="{C00FFE93-257B-4AE9-A376-06DC57625331}" name="mother_education"/>
    <tableColumn id="9" xr3:uid="{D8DEA5A3-49AC-4AC9-A583-F3059224E8C6}" name="father_education"/>
    <tableColumn id="10" xr3:uid="{AACC84E0-44FC-4330-8F13-E4F418F377C3}" name="Mjob"/>
    <tableColumn id="11" xr3:uid="{127AB614-DF66-480E-B901-3D895AB5C6AA}" name="Fjob"/>
    <tableColumn id="12" xr3:uid="{554CFCE9-E816-42D4-945B-BFFFA2EFDC98}" name="study_time"/>
    <tableColumn id="13" xr3:uid="{AB145561-B7B8-4E3F-AA3B-93E8F93E6C44}" name="traveltime"/>
    <tableColumn id="14" xr3:uid="{3E46ACBF-CB88-4542-B3DB-94E01D509C2C}" name="schoolsup"/>
    <tableColumn id="15" xr3:uid="{1AC86302-8917-4066-8FFA-855065DC7DCD}" name="famsup"/>
    <tableColumn id="16" xr3:uid="{E5793398-2D7B-4510-9FFC-8812A10653FA}" name="paid"/>
    <tableColumn id="17" xr3:uid="{162FAFC1-A3AC-47F2-96FB-53CA3C0C7D50}" name="activities"/>
    <tableColumn id="18" xr3:uid="{A8161A45-8537-4B64-93D9-B972479CDECD}" name="internet"/>
    <tableColumn id="19" xr3:uid="{8B1B9EE0-2F6F-4F1E-8D68-1EC1D0E8C763}" name="romantic"/>
    <tableColumn id="20" xr3:uid="{90AEC52E-8792-44BE-808C-9DFEC56D4B9C}" name="freetime"/>
    <tableColumn id="21" xr3:uid="{7A6345A6-BD2D-4A29-BDF9-FEB2DDACF64C}" name="goout"/>
    <tableColumn id="22" xr3:uid="{D8606FC1-6FE0-4450-BBA2-49458CC4A8CD}" name="Dalc"/>
    <tableColumn id="23" xr3:uid="{BDBECD1C-A4F4-406D-A646-C8D3451FBF6D}" name="Walc"/>
    <tableColumn id="24" xr3:uid="{FC149D03-2925-400F-98AB-74DCA263A078}" name="health"/>
    <tableColumn id="25" xr3:uid="{4FBF9E1D-867E-43AA-A04C-07B5DF7E11AD}" name="academic_failures"/>
    <tableColumn id="26" xr3:uid="{E687EA1F-01BE-4590-BF4F-754C35B99CA8}" name="absences"/>
    <tableColumn id="27" xr3:uid="{49741F20-FBD5-4B3D-B5F8-08C1EF49037E}" name="grade_period1"/>
    <tableColumn id="28" xr3:uid="{80B047E1-2B9D-4F6C-8255-2AFF2B4D2F6A}" name="grade_period2"/>
    <tableColumn id="29" xr3:uid="{FB145868-BDAC-4134-9E13-C1226A04AC96}" name="final_grade"/>
    <tableColumn id="30" xr3:uid="{D6516FA9-ABB0-4681-AF70-11329E95C08B}" name="performance_category"/>
    <tableColumn id="31" xr3:uid="{80BE56C9-D950-40D0-836F-C28D816629DC}" name="risk_flag"/>
    <tableColumn id="32" xr3:uid="{604D54D1-3060-441D-850D-E01921700401}" name="absence_level"/>
    <tableColumn id="33" xr3:uid="{208D9DDF-F2D6-4BB0-9D07-9880FE1B124E}" name="study_time_category"/>
    <tableColumn id="34" xr3:uid="{E348D33A-DD80-44B7-BF24-94B93F1BAB41}" name="grade_progress"/>
    <tableColumn id="35" xr3:uid="{5E5390ED-5C0F-47CB-86D3-83928D65AE99}" name="progress_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96"/>
  <sheetViews>
    <sheetView topLeftCell="Y1" zoomScaleNormal="100" workbookViewId="0">
      <selection sqref="A1:AI1048576"/>
    </sheetView>
  </sheetViews>
  <sheetFormatPr defaultRowHeight="15" x14ac:dyDescent="0.25"/>
  <cols>
    <col min="2" max="2" width="9.42578125" customWidth="1"/>
    <col min="4" max="5" width="10" customWidth="1"/>
    <col min="6" max="6" width="9.5703125" customWidth="1"/>
    <col min="7" max="7" width="10.85546875" customWidth="1"/>
    <col min="8" max="8" width="19.5703125" customWidth="1"/>
    <col min="9" max="9" width="18.42578125" customWidth="1"/>
    <col min="12" max="12" width="13.140625" customWidth="1"/>
    <col min="13" max="13" width="12.42578125" customWidth="1"/>
    <col min="14" max="14" width="12" customWidth="1"/>
    <col min="15" max="15" width="9.7109375" customWidth="1"/>
    <col min="17" max="17" width="11.140625" customWidth="1"/>
    <col min="18" max="18" width="10.42578125" customWidth="1"/>
    <col min="19" max="20" width="11" customWidth="1"/>
    <col min="25" max="25" width="19.140625" customWidth="1"/>
    <col min="26" max="26" width="11.28515625" customWidth="1"/>
    <col min="27" max="28" width="16" customWidth="1"/>
    <col min="29" max="29" width="13.140625" customWidth="1"/>
    <col min="30" max="30" width="23.140625" customWidth="1"/>
    <col min="31" max="31" width="10.5703125" customWidth="1"/>
    <col min="32" max="32" width="15.85546875" customWidth="1"/>
    <col min="33" max="33" width="21.7109375" customWidth="1"/>
    <col min="34" max="34" width="16.7109375" customWidth="1"/>
    <col min="35" max="35" width="19.28515625"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5">
      <c r="A2" t="s">
        <v>35</v>
      </c>
      <c r="B2" t="s">
        <v>36</v>
      </c>
      <c r="C2">
        <v>18</v>
      </c>
      <c r="D2" t="s">
        <v>37</v>
      </c>
      <c r="E2" t="s">
        <v>38</v>
      </c>
      <c r="F2" t="s">
        <v>39</v>
      </c>
      <c r="G2" t="s">
        <v>40</v>
      </c>
      <c r="H2">
        <v>4</v>
      </c>
      <c r="I2">
        <v>4</v>
      </c>
      <c r="J2" t="s">
        <v>41</v>
      </c>
      <c r="K2" t="s">
        <v>42</v>
      </c>
      <c r="L2">
        <v>2</v>
      </c>
      <c r="M2">
        <v>2</v>
      </c>
      <c r="N2" t="s">
        <v>43</v>
      </c>
      <c r="O2" t="s">
        <v>44</v>
      </c>
      <c r="P2" t="s">
        <v>44</v>
      </c>
      <c r="Q2" t="s">
        <v>44</v>
      </c>
      <c r="R2" t="s">
        <v>44</v>
      </c>
      <c r="S2" t="s">
        <v>44</v>
      </c>
      <c r="T2">
        <v>3</v>
      </c>
      <c r="U2">
        <v>4</v>
      </c>
      <c r="V2">
        <v>1</v>
      </c>
      <c r="W2">
        <v>1</v>
      </c>
      <c r="X2">
        <v>3</v>
      </c>
      <c r="Y2">
        <v>0</v>
      </c>
      <c r="Z2">
        <v>6</v>
      </c>
      <c r="AA2">
        <v>5</v>
      </c>
      <c r="AB2">
        <v>6</v>
      </c>
      <c r="AC2">
        <v>6</v>
      </c>
      <c r="AD2" t="s">
        <v>45</v>
      </c>
      <c r="AE2" t="s">
        <v>45</v>
      </c>
      <c r="AF2" t="s">
        <v>46</v>
      </c>
      <c r="AG2" t="s">
        <v>47</v>
      </c>
      <c r="AH2">
        <v>1</v>
      </c>
      <c r="AI2" t="s">
        <v>48</v>
      </c>
    </row>
    <row r="3" spans="1:35" x14ac:dyDescent="0.25">
      <c r="A3" t="s">
        <v>35</v>
      </c>
      <c r="B3" t="s">
        <v>36</v>
      </c>
      <c r="C3">
        <v>17</v>
      </c>
      <c r="D3" t="s">
        <v>37</v>
      </c>
      <c r="E3" t="s">
        <v>38</v>
      </c>
      <c r="F3" t="s">
        <v>49</v>
      </c>
      <c r="G3" t="s">
        <v>50</v>
      </c>
      <c r="H3">
        <v>1</v>
      </c>
      <c r="I3">
        <v>1</v>
      </c>
      <c r="J3" t="s">
        <v>41</v>
      </c>
      <c r="K3" t="s">
        <v>51</v>
      </c>
      <c r="L3">
        <v>2</v>
      </c>
      <c r="M3">
        <v>1</v>
      </c>
      <c r="N3" t="s">
        <v>44</v>
      </c>
      <c r="O3" t="s">
        <v>43</v>
      </c>
      <c r="P3" t="s">
        <v>44</v>
      </c>
      <c r="Q3" t="s">
        <v>44</v>
      </c>
      <c r="R3" t="s">
        <v>43</v>
      </c>
      <c r="S3" t="s">
        <v>44</v>
      </c>
      <c r="T3">
        <v>3</v>
      </c>
      <c r="U3">
        <v>3</v>
      </c>
      <c r="V3">
        <v>1</v>
      </c>
      <c r="W3">
        <v>1</v>
      </c>
      <c r="X3">
        <v>3</v>
      </c>
      <c r="Y3">
        <v>0</v>
      </c>
      <c r="Z3">
        <v>4</v>
      </c>
      <c r="AA3">
        <v>5</v>
      </c>
      <c r="AB3">
        <v>5</v>
      </c>
      <c r="AC3">
        <v>6</v>
      </c>
      <c r="AD3" t="s">
        <v>45</v>
      </c>
      <c r="AE3" t="s">
        <v>45</v>
      </c>
      <c r="AF3" t="s">
        <v>52</v>
      </c>
      <c r="AG3" t="s">
        <v>47</v>
      </c>
      <c r="AH3">
        <v>1</v>
      </c>
      <c r="AI3" t="s">
        <v>48</v>
      </c>
    </row>
    <row r="4" spans="1:35" x14ac:dyDescent="0.25">
      <c r="A4" t="s">
        <v>35</v>
      </c>
      <c r="B4" t="s">
        <v>36</v>
      </c>
      <c r="C4">
        <v>15</v>
      </c>
      <c r="D4" t="s">
        <v>37</v>
      </c>
      <c r="E4" t="s">
        <v>53</v>
      </c>
      <c r="F4" t="s">
        <v>49</v>
      </c>
      <c r="G4" t="s">
        <v>40</v>
      </c>
      <c r="H4">
        <v>1</v>
      </c>
      <c r="I4">
        <v>1</v>
      </c>
      <c r="J4" t="s">
        <v>41</v>
      </c>
      <c r="K4" t="s">
        <v>51</v>
      </c>
      <c r="L4">
        <v>2</v>
      </c>
      <c r="M4">
        <v>1</v>
      </c>
      <c r="N4" t="s">
        <v>43</v>
      </c>
      <c r="O4" t="s">
        <v>44</v>
      </c>
      <c r="P4" t="s">
        <v>43</v>
      </c>
      <c r="Q4" t="s">
        <v>44</v>
      </c>
      <c r="R4" t="s">
        <v>43</v>
      </c>
      <c r="S4" t="s">
        <v>44</v>
      </c>
      <c r="T4">
        <v>3</v>
      </c>
      <c r="U4">
        <v>2</v>
      </c>
      <c r="V4">
        <v>2</v>
      </c>
      <c r="W4">
        <v>3</v>
      </c>
      <c r="X4">
        <v>3</v>
      </c>
      <c r="Y4">
        <v>3</v>
      </c>
      <c r="Z4">
        <v>10</v>
      </c>
      <c r="AA4">
        <v>7</v>
      </c>
      <c r="AB4">
        <v>8</v>
      </c>
      <c r="AC4">
        <v>10</v>
      </c>
      <c r="AD4" t="s">
        <v>46</v>
      </c>
      <c r="AE4" t="s">
        <v>45</v>
      </c>
      <c r="AF4" t="s">
        <v>46</v>
      </c>
      <c r="AG4" t="s">
        <v>47</v>
      </c>
      <c r="AH4">
        <v>3</v>
      </c>
      <c r="AI4" t="s">
        <v>48</v>
      </c>
    </row>
    <row r="5" spans="1:35" x14ac:dyDescent="0.25">
      <c r="A5" t="s">
        <v>35</v>
      </c>
      <c r="B5" t="s">
        <v>36</v>
      </c>
      <c r="C5">
        <v>15</v>
      </c>
      <c r="D5" t="s">
        <v>37</v>
      </c>
      <c r="E5" t="s">
        <v>38</v>
      </c>
      <c r="F5" t="s">
        <v>49</v>
      </c>
      <c r="G5" t="s">
        <v>40</v>
      </c>
      <c r="H5">
        <v>4</v>
      </c>
      <c r="I5">
        <v>2</v>
      </c>
      <c r="J5" t="s">
        <v>23</v>
      </c>
      <c r="K5" t="s">
        <v>54</v>
      </c>
      <c r="L5">
        <v>3</v>
      </c>
      <c r="M5">
        <v>1</v>
      </c>
      <c r="N5" t="s">
        <v>44</v>
      </c>
      <c r="O5" t="s">
        <v>43</v>
      </c>
      <c r="P5" t="s">
        <v>43</v>
      </c>
      <c r="Q5" t="s">
        <v>43</v>
      </c>
      <c r="R5" t="s">
        <v>43</v>
      </c>
      <c r="S5" t="s">
        <v>43</v>
      </c>
      <c r="T5">
        <v>2</v>
      </c>
      <c r="U5">
        <v>2</v>
      </c>
      <c r="V5">
        <v>1</v>
      </c>
      <c r="W5">
        <v>1</v>
      </c>
      <c r="X5">
        <v>5</v>
      </c>
      <c r="Y5">
        <v>0</v>
      </c>
      <c r="Z5">
        <v>2</v>
      </c>
      <c r="AA5">
        <v>15</v>
      </c>
      <c r="AB5">
        <v>14</v>
      </c>
      <c r="AC5">
        <v>15</v>
      </c>
      <c r="AD5" t="s">
        <v>55</v>
      </c>
      <c r="AE5" t="s">
        <v>56</v>
      </c>
      <c r="AF5" t="s">
        <v>52</v>
      </c>
      <c r="AG5" t="s">
        <v>57</v>
      </c>
      <c r="AH5">
        <v>0</v>
      </c>
      <c r="AI5" t="s">
        <v>58</v>
      </c>
    </row>
    <row r="6" spans="1:35" x14ac:dyDescent="0.25">
      <c r="A6" t="s">
        <v>35</v>
      </c>
      <c r="B6" t="s">
        <v>36</v>
      </c>
      <c r="C6">
        <v>16</v>
      </c>
      <c r="D6" t="s">
        <v>37</v>
      </c>
      <c r="E6" t="s">
        <v>38</v>
      </c>
      <c r="F6" t="s">
        <v>49</v>
      </c>
      <c r="G6" t="s">
        <v>50</v>
      </c>
      <c r="H6">
        <v>3</v>
      </c>
      <c r="I6">
        <v>3</v>
      </c>
      <c r="J6" t="s">
        <v>51</v>
      </c>
      <c r="K6" t="s">
        <v>51</v>
      </c>
      <c r="L6">
        <v>2</v>
      </c>
      <c r="M6">
        <v>1</v>
      </c>
      <c r="N6" t="s">
        <v>44</v>
      </c>
      <c r="O6" t="s">
        <v>43</v>
      </c>
      <c r="P6" t="s">
        <v>43</v>
      </c>
      <c r="Q6" t="s">
        <v>44</v>
      </c>
      <c r="R6" t="s">
        <v>44</v>
      </c>
      <c r="S6" t="s">
        <v>44</v>
      </c>
      <c r="T6">
        <v>3</v>
      </c>
      <c r="U6">
        <v>2</v>
      </c>
      <c r="V6">
        <v>1</v>
      </c>
      <c r="W6">
        <v>2</v>
      </c>
      <c r="X6">
        <v>5</v>
      </c>
      <c r="Y6">
        <v>0</v>
      </c>
      <c r="Z6">
        <v>4</v>
      </c>
      <c r="AA6">
        <v>6</v>
      </c>
      <c r="AB6">
        <v>10</v>
      </c>
      <c r="AC6">
        <v>10</v>
      </c>
      <c r="AD6" t="s">
        <v>46</v>
      </c>
      <c r="AE6" t="s">
        <v>56</v>
      </c>
      <c r="AF6" t="s">
        <v>52</v>
      </c>
      <c r="AG6" t="s">
        <v>47</v>
      </c>
      <c r="AH6">
        <v>4</v>
      </c>
      <c r="AI6" t="s">
        <v>48</v>
      </c>
    </row>
    <row r="7" spans="1:35" x14ac:dyDescent="0.25">
      <c r="A7" t="s">
        <v>35</v>
      </c>
      <c r="B7" t="s">
        <v>59</v>
      </c>
      <c r="C7">
        <v>16</v>
      </c>
      <c r="D7" t="s">
        <v>37</v>
      </c>
      <c r="E7" t="s">
        <v>53</v>
      </c>
      <c r="F7" t="s">
        <v>49</v>
      </c>
      <c r="G7" t="s">
        <v>40</v>
      </c>
      <c r="H7">
        <v>4</v>
      </c>
      <c r="I7">
        <v>3</v>
      </c>
      <c r="J7" t="s">
        <v>54</v>
      </c>
      <c r="K7" t="s">
        <v>51</v>
      </c>
      <c r="L7">
        <v>2</v>
      </c>
      <c r="M7">
        <v>1</v>
      </c>
      <c r="N7" t="s">
        <v>44</v>
      </c>
      <c r="O7" t="s">
        <v>43</v>
      </c>
      <c r="P7" t="s">
        <v>43</v>
      </c>
      <c r="Q7" t="s">
        <v>43</v>
      </c>
      <c r="R7" t="s">
        <v>43</v>
      </c>
      <c r="S7" t="s">
        <v>44</v>
      </c>
      <c r="T7">
        <v>4</v>
      </c>
      <c r="U7">
        <v>2</v>
      </c>
      <c r="V7">
        <v>1</v>
      </c>
      <c r="W7">
        <v>2</v>
      </c>
      <c r="X7">
        <v>5</v>
      </c>
      <c r="Y7">
        <v>0</v>
      </c>
      <c r="Z7">
        <v>10</v>
      </c>
      <c r="AA7">
        <v>15</v>
      </c>
      <c r="AB7">
        <v>15</v>
      </c>
      <c r="AC7">
        <v>15</v>
      </c>
      <c r="AD7" t="s">
        <v>55</v>
      </c>
      <c r="AE7" t="s">
        <v>56</v>
      </c>
      <c r="AF7" t="s">
        <v>46</v>
      </c>
      <c r="AG7" t="s">
        <v>47</v>
      </c>
      <c r="AH7">
        <v>0</v>
      </c>
      <c r="AI7" t="s">
        <v>58</v>
      </c>
    </row>
    <row r="8" spans="1:35" x14ac:dyDescent="0.25">
      <c r="A8" t="s">
        <v>35</v>
      </c>
      <c r="B8" t="s">
        <v>59</v>
      </c>
      <c r="C8">
        <v>16</v>
      </c>
      <c r="D8" t="s">
        <v>37</v>
      </c>
      <c r="E8" t="s">
        <v>53</v>
      </c>
      <c r="F8" t="s">
        <v>49</v>
      </c>
      <c r="G8" t="s">
        <v>40</v>
      </c>
      <c r="H8">
        <v>2</v>
      </c>
      <c r="I8">
        <v>2</v>
      </c>
      <c r="J8" t="s">
        <v>51</v>
      </c>
      <c r="K8" t="s">
        <v>51</v>
      </c>
      <c r="L8">
        <v>2</v>
      </c>
      <c r="M8">
        <v>1</v>
      </c>
      <c r="N8" t="s">
        <v>44</v>
      </c>
      <c r="O8" t="s">
        <v>44</v>
      </c>
      <c r="P8" t="s">
        <v>44</v>
      </c>
      <c r="Q8" t="s">
        <v>44</v>
      </c>
      <c r="R8" t="s">
        <v>43</v>
      </c>
      <c r="S8" t="s">
        <v>44</v>
      </c>
      <c r="T8">
        <v>4</v>
      </c>
      <c r="U8">
        <v>4</v>
      </c>
      <c r="V8">
        <v>1</v>
      </c>
      <c r="W8">
        <v>1</v>
      </c>
      <c r="X8">
        <v>3</v>
      </c>
      <c r="Y8">
        <v>0</v>
      </c>
      <c r="Z8">
        <v>0</v>
      </c>
      <c r="AA8">
        <v>12</v>
      </c>
      <c r="AB8">
        <v>12</v>
      </c>
      <c r="AC8">
        <v>11</v>
      </c>
      <c r="AD8" t="s">
        <v>46</v>
      </c>
      <c r="AE8" t="s">
        <v>56</v>
      </c>
      <c r="AF8" t="s">
        <v>52</v>
      </c>
      <c r="AG8" t="s">
        <v>47</v>
      </c>
      <c r="AH8">
        <v>-1</v>
      </c>
      <c r="AI8" t="s">
        <v>60</v>
      </c>
    </row>
    <row r="9" spans="1:35" x14ac:dyDescent="0.25">
      <c r="A9" t="s">
        <v>35</v>
      </c>
      <c r="B9" t="s">
        <v>36</v>
      </c>
      <c r="C9">
        <v>17</v>
      </c>
      <c r="D9" t="s">
        <v>37</v>
      </c>
      <c r="E9" t="s">
        <v>38</v>
      </c>
      <c r="F9" t="s">
        <v>39</v>
      </c>
      <c r="G9" t="s">
        <v>40</v>
      </c>
      <c r="H9">
        <v>4</v>
      </c>
      <c r="I9">
        <v>4</v>
      </c>
      <c r="J9" t="s">
        <v>51</v>
      </c>
      <c r="K9" t="s">
        <v>42</v>
      </c>
      <c r="L9">
        <v>2</v>
      </c>
      <c r="M9">
        <v>2</v>
      </c>
      <c r="N9" t="s">
        <v>43</v>
      </c>
      <c r="O9" t="s">
        <v>43</v>
      </c>
      <c r="P9" t="s">
        <v>44</v>
      </c>
      <c r="Q9" t="s">
        <v>44</v>
      </c>
      <c r="R9" t="s">
        <v>44</v>
      </c>
      <c r="S9" t="s">
        <v>44</v>
      </c>
      <c r="T9">
        <v>1</v>
      </c>
      <c r="U9">
        <v>4</v>
      </c>
      <c r="V9">
        <v>1</v>
      </c>
      <c r="W9">
        <v>1</v>
      </c>
      <c r="X9">
        <v>1</v>
      </c>
      <c r="Y9">
        <v>0</v>
      </c>
      <c r="Z9">
        <v>6</v>
      </c>
      <c r="AA9">
        <v>6</v>
      </c>
      <c r="AB9">
        <v>5</v>
      </c>
      <c r="AC9">
        <v>6</v>
      </c>
      <c r="AD9" t="s">
        <v>45</v>
      </c>
      <c r="AE9" t="s">
        <v>45</v>
      </c>
      <c r="AF9" t="s">
        <v>46</v>
      </c>
      <c r="AG9" t="s">
        <v>47</v>
      </c>
      <c r="AH9">
        <v>0</v>
      </c>
      <c r="AI9" t="s">
        <v>58</v>
      </c>
    </row>
    <row r="10" spans="1:35" x14ac:dyDescent="0.25">
      <c r="A10" t="s">
        <v>35</v>
      </c>
      <c r="B10" t="s">
        <v>59</v>
      </c>
      <c r="C10">
        <v>15</v>
      </c>
      <c r="D10" t="s">
        <v>37</v>
      </c>
      <c r="E10" t="s">
        <v>53</v>
      </c>
      <c r="F10" t="s">
        <v>39</v>
      </c>
      <c r="G10" t="s">
        <v>40</v>
      </c>
      <c r="H10">
        <v>3</v>
      </c>
      <c r="I10">
        <v>2</v>
      </c>
      <c r="J10" t="s">
        <v>54</v>
      </c>
      <c r="K10" t="s">
        <v>51</v>
      </c>
      <c r="L10">
        <v>2</v>
      </c>
      <c r="M10">
        <v>1</v>
      </c>
      <c r="N10" t="s">
        <v>44</v>
      </c>
      <c r="O10" t="s">
        <v>43</v>
      </c>
      <c r="P10" t="s">
        <v>43</v>
      </c>
      <c r="Q10" t="s">
        <v>44</v>
      </c>
      <c r="R10" t="s">
        <v>43</v>
      </c>
      <c r="S10" t="s">
        <v>44</v>
      </c>
      <c r="T10">
        <v>2</v>
      </c>
      <c r="U10">
        <v>2</v>
      </c>
      <c r="V10">
        <v>1</v>
      </c>
      <c r="W10">
        <v>1</v>
      </c>
      <c r="X10">
        <v>1</v>
      </c>
      <c r="Y10">
        <v>0</v>
      </c>
      <c r="Z10">
        <v>0</v>
      </c>
      <c r="AA10">
        <v>16</v>
      </c>
      <c r="AB10">
        <v>18</v>
      </c>
      <c r="AC10">
        <v>19</v>
      </c>
      <c r="AD10" t="s">
        <v>55</v>
      </c>
      <c r="AE10" t="s">
        <v>56</v>
      </c>
      <c r="AF10" t="s">
        <v>52</v>
      </c>
      <c r="AG10" t="s">
        <v>47</v>
      </c>
      <c r="AH10">
        <v>3</v>
      </c>
      <c r="AI10" t="s">
        <v>48</v>
      </c>
    </row>
    <row r="11" spans="1:35" x14ac:dyDescent="0.25">
      <c r="A11" t="s">
        <v>35</v>
      </c>
      <c r="B11" t="s">
        <v>59</v>
      </c>
      <c r="C11">
        <v>15</v>
      </c>
      <c r="D11" t="s">
        <v>37</v>
      </c>
      <c r="E11" t="s">
        <v>38</v>
      </c>
      <c r="F11" t="s">
        <v>49</v>
      </c>
      <c r="G11" t="s">
        <v>40</v>
      </c>
      <c r="H11">
        <v>3</v>
      </c>
      <c r="I11">
        <v>4</v>
      </c>
      <c r="J11" t="s">
        <v>51</v>
      </c>
      <c r="K11" t="s">
        <v>51</v>
      </c>
      <c r="L11">
        <v>2</v>
      </c>
      <c r="M11">
        <v>1</v>
      </c>
      <c r="N11" t="s">
        <v>44</v>
      </c>
      <c r="O11" t="s">
        <v>43</v>
      </c>
      <c r="P11" t="s">
        <v>43</v>
      </c>
      <c r="Q11" t="s">
        <v>43</v>
      </c>
      <c r="R11" t="s">
        <v>43</v>
      </c>
      <c r="S11" t="s">
        <v>44</v>
      </c>
      <c r="T11">
        <v>5</v>
      </c>
      <c r="U11">
        <v>1</v>
      </c>
      <c r="V11">
        <v>1</v>
      </c>
      <c r="W11">
        <v>1</v>
      </c>
      <c r="X11">
        <v>5</v>
      </c>
      <c r="Y11">
        <v>0</v>
      </c>
      <c r="Z11">
        <v>0</v>
      </c>
      <c r="AA11">
        <v>14</v>
      </c>
      <c r="AB11">
        <v>15</v>
      </c>
      <c r="AC11">
        <v>15</v>
      </c>
      <c r="AD11" t="s">
        <v>55</v>
      </c>
      <c r="AE11" t="s">
        <v>56</v>
      </c>
      <c r="AF11" t="s">
        <v>52</v>
      </c>
      <c r="AG11" t="s">
        <v>47</v>
      </c>
      <c r="AH11">
        <v>1</v>
      </c>
      <c r="AI11" t="s">
        <v>48</v>
      </c>
    </row>
    <row r="12" spans="1:35" x14ac:dyDescent="0.25">
      <c r="A12" t="s">
        <v>35</v>
      </c>
      <c r="B12" t="s">
        <v>36</v>
      </c>
      <c r="C12">
        <v>15</v>
      </c>
      <c r="D12" t="s">
        <v>37</v>
      </c>
      <c r="E12" t="s">
        <v>38</v>
      </c>
      <c r="F12" t="s">
        <v>49</v>
      </c>
      <c r="G12" t="s">
        <v>40</v>
      </c>
      <c r="H12">
        <v>4</v>
      </c>
      <c r="I12">
        <v>4</v>
      </c>
      <c r="J12" t="s">
        <v>42</v>
      </c>
      <c r="K12" t="s">
        <v>23</v>
      </c>
      <c r="L12">
        <v>2</v>
      </c>
      <c r="M12">
        <v>1</v>
      </c>
      <c r="N12" t="s">
        <v>44</v>
      </c>
      <c r="O12" t="s">
        <v>43</v>
      </c>
      <c r="P12" t="s">
        <v>43</v>
      </c>
      <c r="Q12" t="s">
        <v>44</v>
      </c>
      <c r="R12" t="s">
        <v>43</v>
      </c>
      <c r="S12" t="s">
        <v>44</v>
      </c>
      <c r="T12">
        <v>3</v>
      </c>
      <c r="U12">
        <v>3</v>
      </c>
      <c r="V12">
        <v>1</v>
      </c>
      <c r="W12">
        <v>2</v>
      </c>
      <c r="X12">
        <v>2</v>
      </c>
      <c r="Y12">
        <v>0</v>
      </c>
      <c r="Z12">
        <v>0</v>
      </c>
      <c r="AA12">
        <v>10</v>
      </c>
      <c r="AB12">
        <v>8</v>
      </c>
      <c r="AC12">
        <v>9</v>
      </c>
      <c r="AD12" t="s">
        <v>45</v>
      </c>
      <c r="AE12" t="s">
        <v>45</v>
      </c>
      <c r="AF12" t="s">
        <v>52</v>
      </c>
      <c r="AG12" t="s">
        <v>47</v>
      </c>
      <c r="AH12">
        <v>-1</v>
      </c>
      <c r="AI12" t="s">
        <v>60</v>
      </c>
    </row>
    <row r="13" spans="1:35" x14ac:dyDescent="0.25">
      <c r="A13" t="s">
        <v>35</v>
      </c>
      <c r="B13" t="s">
        <v>36</v>
      </c>
      <c r="C13">
        <v>15</v>
      </c>
      <c r="D13" t="s">
        <v>37</v>
      </c>
      <c r="E13" t="s">
        <v>38</v>
      </c>
      <c r="F13" t="s">
        <v>49</v>
      </c>
      <c r="G13" t="s">
        <v>50</v>
      </c>
      <c r="H13">
        <v>2</v>
      </c>
      <c r="I13">
        <v>1</v>
      </c>
      <c r="J13" t="s">
        <v>54</v>
      </c>
      <c r="K13" t="s">
        <v>51</v>
      </c>
      <c r="L13">
        <v>3</v>
      </c>
      <c r="M13">
        <v>3</v>
      </c>
      <c r="N13" t="s">
        <v>44</v>
      </c>
      <c r="O13" t="s">
        <v>43</v>
      </c>
      <c r="P13" t="s">
        <v>44</v>
      </c>
      <c r="Q13" t="s">
        <v>43</v>
      </c>
      <c r="R13" t="s">
        <v>43</v>
      </c>
      <c r="S13" t="s">
        <v>44</v>
      </c>
      <c r="T13">
        <v>2</v>
      </c>
      <c r="U13">
        <v>2</v>
      </c>
      <c r="V13">
        <v>1</v>
      </c>
      <c r="W13">
        <v>1</v>
      </c>
      <c r="X13">
        <v>4</v>
      </c>
      <c r="Y13">
        <v>0</v>
      </c>
      <c r="Z13">
        <v>4</v>
      </c>
      <c r="AA13">
        <v>10</v>
      </c>
      <c r="AB13">
        <v>12</v>
      </c>
      <c r="AC13">
        <v>12</v>
      </c>
      <c r="AD13" t="s">
        <v>46</v>
      </c>
      <c r="AE13" t="s">
        <v>56</v>
      </c>
      <c r="AF13" t="s">
        <v>52</v>
      </c>
      <c r="AG13" t="s">
        <v>57</v>
      </c>
      <c r="AH13">
        <v>2</v>
      </c>
      <c r="AI13" t="s">
        <v>48</v>
      </c>
    </row>
    <row r="14" spans="1:35" x14ac:dyDescent="0.25">
      <c r="A14" t="s">
        <v>35</v>
      </c>
      <c r="B14" t="s">
        <v>59</v>
      </c>
      <c r="C14">
        <v>15</v>
      </c>
      <c r="D14" t="s">
        <v>37</v>
      </c>
      <c r="E14" t="s">
        <v>53</v>
      </c>
      <c r="F14" t="s">
        <v>49</v>
      </c>
      <c r="G14" t="s">
        <v>50</v>
      </c>
      <c r="H14">
        <v>4</v>
      </c>
      <c r="I14">
        <v>4</v>
      </c>
      <c r="J14" t="s">
        <v>23</v>
      </c>
      <c r="K14" t="s">
        <v>54</v>
      </c>
      <c r="L14">
        <v>1</v>
      </c>
      <c r="M14">
        <v>1</v>
      </c>
      <c r="N14" t="s">
        <v>44</v>
      </c>
      <c r="O14" t="s">
        <v>43</v>
      </c>
      <c r="P14" t="s">
        <v>43</v>
      </c>
      <c r="Q14" t="s">
        <v>43</v>
      </c>
      <c r="R14" t="s">
        <v>43</v>
      </c>
      <c r="S14" t="s">
        <v>44</v>
      </c>
      <c r="T14">
        <v>3</v>
      </c>
      <c r="U14">
        <v>3</v>
      </c>
      <c r="V14">
        <v>1</v>
      </c>
      <c r="W14">
        <v>3</v>
      </c>
      <c r="X14">
        <v>5</v>
      </c>
      <c r="Y14">
        <v>0</v>
      </c>
      <c r="Z14">
        <v>2</v>
      </c>
      <c r="AA14">
        <v>14</v>
      </c>
      <c r="AB14">
        <v>14</v>
      </c>
      <c r="AC14">
        <v>14</v>
      </c>
      <c r="AD14" t="s">
        <v>55</v>
      </c>
      <c r="AE14" t="s">
        <v>56</v>
      </c>
      <c r="AF14" t="s">
        <v>52</v>
      </c>
      <c r="AG14" t="s">
        <v>61</v>
      </c>
      <c r="AH14">
        <v>0</v>
      </c>
      <c r="AI14" t="s">
        <v>58</v>
      </c>
    </row>
    <row r="15" spans="1:35" x14ac:dyDescent="0.25">
      <c r="A15" t="s">
        <v>35</v>
      </c>
      <c r="B15" t="s">
        <v>59</v>
      </c>
      <c r="C15">
        <v>15</v>
      </c>
      <c r="D15" t="s">
        <v>37</v>
      </c>
      <c r="E15" t="s">
        <v>38</v>
      </c>
      <c r="F15" t="s">
        <v>49</v>
      </c>
      <c r="G15" t="s">
        <v>40</v>
      </c>
      <c r="H15">
        <v>4</v>
      </c>
      <c r="I15">
        <v>3</v>
      </c>
      <c r="J15" t="s">
        <v>42</v>
      </c>
      <c r="K15" t="s">
        <v>51</v>
      </c>
      <c r="L15">
        <v>2</v>
      </c>
      <c r="M15">
        <v>2</v>
      </c>
      <c r="N15" t="s">
        <v>44</v>
      </c>
      <c r="O15" t="s">
        <v>43</v>
      </c>
      <c r="P15" t="s">
        <v>43</v>
      </c>
      <c r="Q15" t="s">
        <v>44</v>
      </c>
      <c r="R15" t="s">
        <v>43</v>
      </c>
      <c r="S15" t="s">
        <v>44</v>
      </c>
      <c r="T15">
        <v>4</v>
      </c>
      <c r="U15">
        <v>3</v>
      </c>
      <c r="V15">
        <v>1</v>
      </c>
      <c r="W15">
        <v>2</v>
      </c>
      <c r="X15">
        <v>3</v>
      </c>
      <c r="Y15">
        <v>0</v>
      </c>
      <c r="Z15">
        <v>2</v>
      </c>
      <c r="AA15">
        <v>10</v>
      </c>
      <c r="AB15">
        <v>10</v>
      </c>
      <c r="AC15">
        <v>11</v>
      </c>
      <c r="AD15" t="s">
        <v>46</v>
      </c>
      <c r="AE15" t="s">
        <v>56</v>
      </c>
      <c r="AF15" t="s">
        <v>52</v>
      </c>
      <c r="AG15" t="s">
        <v>47</v>
      </c>
      <c r="AH15">
        <v>1</v>
      </c>
      <c r="AI15" t="s">
        <v>48</v>
      </c>
    </row>
    <row r="16" spans="1:35" x14ac:dyDescent="0.25">
      <c r="A16" t="s">
        <v>35</v>
      </c>
      <c r="B16" t="s">
        <v>59</v>
      </c>
      <c r="C16">
        <v>15</v>
      </c>
      <c r="D16" t="s">
        <v>37</v>
      </c>
      <c r="E16" t="s">
        <v>38</v>
      </c>
      <c r="F16" t="s">
        <v>39</v>
      </c>
      <c r="G16" t="s">
        <v>51</v>
      </c>
      <c r="H16">
        <v>2</v>
      </c>
      <c r="I16">
        <v>2</v>
      </c>
      <c r="J16" t="s">
        <v>51</v>
      </c>
      <c r="K16" t="s">
        <v>51</v>
      </c>
      <c r="L16">
        <v>3</v>
      </c>
      <c r="M16">
        <v>1</v>
      </c>
      <c r="N16" t="s">
        <v>44</v>
      </c>
      <c r="O16" t="s">
        <v>43</v>
      </c>
      <c r="P16" t="s">
        <v>44</v>
      </c>
      <c r="Q16" t="s">
        <v>44</v>
      </c>
      <c r="R16" t="s">
        <v>43</v>
      </c>
      <c r="S16" t="s">
        <v>43</v>
      </c>
      <c r="T16">
        <v>5</v>
      </c>
      <c r="U16">
        <v>2</v>
      </c>
      <c r="V16">
        <v>1</v>
      </c>
      <c r="W16">
        <v>1</v>
      </c>
      <c r="X16">
        <v>3</v>
      </c>
      <c r="Y16">
        <v>0</v>
      </c>
      <c r="Z16">
        <v>0</v>
      </c>
      <c r="AA16">
        <v>14</v>
      </c>
      <c r="AB16">
        <v>16</v>
      </c>
      <c r="AC16">
        <v>16</v>
      </c>
      <c r="AD16" t="s">
        <v>55</v>
      </c>
      <c r="AE16" t="s">
        <v>56</v>
      </c>
      <c r="AF16" t="s">
        <v>52</v>
      </c>
      <c r="AG16" t="s">
        <v>57</v>
      </c>
      <c r="AH16">
        <v>2</v>
      </c>
      <c r="AI16" t="s">
        <v>48</v>
      </c>
    </row>
    <row r="17" spans="1:35" x14ac:dyDescent="0.25">
      <c r="A17" t="s">
        <v>35</v>
      </c>
      <c r="B17" t="s">
        <v>36</v>
      </c>
      <c r="C17">
        <v>16</v>
      </c>
      <c r="D17" t="s">
        <v>37</v>
      </c>
      <c r="E17" t="s">
        <v>38</v>
      </c>
      <c r="F17" t="s">
        <v>49</v>
      </c>
      <c r="G17" t="s">
        <v>40</v>
      </c>
      <c r="H17">
        <v>4</v>
      </c>
      <c r="I17">
        <v>4</v>
      </c>
      <c r="J17" t="s">
        <v>23</v>
      </c>
      <c r="K17" t="s">
        <v>51</v>
      </c>
      <c r="L17">
        <v>1</v>
      </c>
      <c r="M17">
        <v>1</v>
      </c>
      <c r="N17" t="s">
        <v>44</v>
      </c>
      <c r="O17" t="s">
        <v>43</v>
      </c>
      <c r="P17" t="s">
        <v>44</v>
      </c>
      <c r="Q17" t="s">
        <v>44</v>
      </c>
      <c r="R17" t="s">
        <v>43</v>
      </c>
      <c r="S17" t="s">
        <v>44</v>
      </c>
      <c r="T17">
        <v>4</v>
      </c>
      <c r="U17">
        <v>4</v>
      </c>
      <c r="V17">
        <v>1</v>
      </c>
      <c r="W17">
        <v>2</v>
      </c>
      <c r="X17">
        <v>2</v>
      </c>
      <c r="Y17">
        <v>0</v>
      </c>
      <c r="Z17">
        <v>4</v>
      </c>
      <c r="AA17">
        <v>14</v>
      </c>
      <c r="AB17">
        <v>14</v>
      </c>
      <c r="AC17">
        <v>14</v>
      </c>
      <c r="AD17" t="s">
        <v>55</v>
      </c>
      <c r="AE17" t="s">
        <v>56</v>
      </c>
      <c r="AF17" t="s">
        <v>52</v>
      </c>
      <c r="AG17" t="s">
        <v>61</v>
      </c>
      <c r="AH17">
        <v>0</v>
      </c>
      <c r="AI17" t="s">
        <v>58</v>
      </c>
    </row>
    <row r="18" spans="1:35" x14ac:dyDescent="0.25">
      <c r="A18" t="s">
        <v>35</v>
      </c>
      <c r="B18" t="s">
        <v>36</v>
      </c>
      <c r="C18">
        <v>16</v>
      </c>
      <c r="D18" t="s">
        <v>37</v>
      </c>
      <c r="E18" t="s">
        <v>38</v>
      </c>
      <c r="F18" t="s">
        <v>49</v>
      </c>
      <c r="G18" t="s">
        <v>40</v>
      </c>
      <c r="H18">
        <v>4</v>
      </c>
      <c r="I18">
        <v>4</v>
      </c>
      <c r="J18" t="s">
        <v>54</v>
      </c>
      <c r="K18" t="s">
        <v>54</v>
      </c>
      <c r="L18">
        <v>3</v>
      </c>
      <c r="M18">
        <v>1</v>
      </c>
      <c r="N18" t="s">
        <v>44</v>
      </c>
      <c r="O18" t="s">
        <v>43</v>
      </c>
      <c r="P18" t="s">
        <v>43</v>
      </c>
      <c r="Q18" t="s">
        <v>43</v>
      </c>
      <c r="R18" t="s">
        <v>43</v>
      </c>
      <c r="S18" t="s">
        <v>44</v>
      </c>
      <c r="T18">
        <v>2</v>
      </c>
      <c r="U18">
        <v>3</v>
      </c>
      <c r="V18">
        <v>1</v>
      </c>
      <c r="W18">
        <v>2</v>
      </c>
      <c r="X18">
        <v>2</v>
      </c>
      <c r="Y18">
        <v>0</v>
      </c>
      <c r="Z18">
        <v>6</v>
      </c>
      <c r="AA18">
        <v>13</v>
      </c>
      <c r="AB18">
        <v>14</v>
      </c>
      <c r="AC18">
        <v>14</v>
      </c>
      <c r="AD18" t="s">
        <v>55</v>
      </c>
      <c r="AE18" t="s">
        <v>56</v>
      </c>
      <c r="AF18" t="s">
        <v>46</v>
      </c>
      <c r="AG18" t="s">
        <v>57</v>
      </c>
      <c r="AH18">
        <v>1</v>
      </c>
      <c r="AI18" t="s">
        <v>48</v>
      </c>
    </row>
    <row r="19" spans="1:35" x14ac:dyDescent="0.25">
      <c r="A19" t="s">
        <v>35</v>
      </c>
      <c r="B19" t="s">
        <v>36</v>
      </c>
      <c r="C19">
        <v>16</v>
      </c>
      <c r="D19" t="s">
        <v>37</v>
      </c>
      <c r="E19" t="s">
        <v>38</v>
      </c>
      <c r="F19" t="s">
        <v>49</v>
      </c>
      <c r="G19" t="s">
        <v>40</v>
      </c>
      <c r="H19">
        <v>3</v>
      </c>
      <c r="I19">
        <v>3</v>
      </c>
      <c r="J19" t="s">
        <v>51</v>
      </c>
      <c r="K19" t="s">
        <v>51</v>
      </c>
      <c r="L19">
        <v>2</v>
      </c>
      <c r="M19">
        <v>3</v>
      </c>
      <c r="N19" t="s">
        <v>43</v>
      </c>
      <c r="O19" t="s">
        <v>43</v>
      </c>
      <c r="P19" t="s">
        <v>44</v>
      </c>
      <c r="Q19" t="s">
        <v>43</v>
      </c>
      <c r="R19" t="s">
        <v>44</v>
      </c>
      <c r="S19" t="s">
        <v>44</v>
      </c>
      <c r="T19">
        <v>3</v>
      </c>
      <c r="U19">
        <v>2</v>
      </c>
      <c r="V19">
        <v>1</v>
      </c>
      <c r="W19">
        <v>1</v>
      </c>
      <c r="X19">
        <v>4</v>
      </c>
      <c r="Y19">
        <v>0</v>
      </c>
      <c r="Z19">
        <v>4</v>
      </c>
      <c r="AA19">
        <v>8</v>
      </c>
      <c r="AB19">
        <v>10</v>
      </c>
      <c r="AC19">
        <v>10</v>
      </c>
      <c r="AD19" t="s">
        <v>46</v>
      </c>
      <c r="AE19" t="s">
        <v>56</v>
      </c>
      <c r="AF19" t="s">
        <v>52</v>
      </c>
      <c r="AG19" t="s">
        <v>47</v>
      </c>
      <c r="AH19">
        <v>2</v>
      </c>
      <c r="AI19" t="s">
        <v>48</v>
      </c>
    </row>
    <row r="20" spans="1:35" x14ac:dyDescent="0.25">
      <c r="A20" t="s">
        <v>35</v>
      </c>
      <c r="B20" t="s">
        <v>59</v>
      </c>
      <c r="C20">
        <v>17</v>
      </c>
      <c r="D20" t="s">
        <v>37</v>
      </c>
      <c r="E20" t="s">
        <v>38</v>
      </c>
      <c r="F20" t="s">
        <v>49</v>
      </c>
      <c r="G20" t="s">
        <v>40</v>
      </c>
      <c r="H20">
        <v>3</v>
      </c>
      <c r="I20">
        <v>2</v>
      </c>
      <c r="J20" t="s">
        <v>54</v>
      </c>
      <c r="K20" t="s">
        <v>54</v>
      </c>
      <c r="L20">
        <v>1</v>
      </c>
      <c r="M20">
        <v>1</v>
      </c>
      <c r="N20" t="s">
        <v>44</v>
      </c>
      <c r="O20" t="s">
        <v>43</v>
      </c>
      <c r="P20" t="s">
        <v>44</v>
      </c>
      <c r="Q20" t="s">
        <v>43</v>
      </c>
      <c r="R20" t="s">
        <v>43</v>
      </c>
      <c r="S20" t="s">
        <v>44</v>
      </c>
      <c r="T20">
        <v>5</v>
      </c>
      <c r="U20">
        <v>5</v>
      </c>
      <c r="V20">
        <v>2</v>
      </c>
      <c r="W20">
        <v>4</v>
      </c>
      <c r="X20">
        <v>5</v>
      </c>
      <c r="Y20">
        <v>3</v>
      </c>
      <c r="Z20">
        <v>16</v>
      </c>
      <c r="AA20">
        <v>6</v>
      </c>
      <c r="AB20">
        <v>5</v>
      </c>
      <c r="AC20">
        <v>5</v>
      </c>
      <c r="AD20" t="s">
        <v>45</v>
      </c>
      <c r="AE20" t="s">
        <v>45</v>
      </c>
      <c r="AF20" t="s">
        <v>62</v>
      </c>
      <c r="AG20" t="s">
        <v>61</v>
      </c>
      <c r="AH20">
        <v>-1</v>
      </c>
      <c r="AI20" t="s">
        <v>60</v>
      </c>
    </row>
    <row r="21" spans="1:35" x14ac:dyDescent="0.25">
      <c r="A21" t="s">
        <v>35</v>
      </c>
      <c r="B21" t="s">
        <v>59</v>
      </c>
      <c r="C21">
        <v>16</v>
      </c>
      <c r="D21" t="s">
        <v>37</v>
      </c>
      <c r="E21" t="s">
        <v>53</v>
      </c>
      <c r="F21" t="s">
        <v>49</v>
      </c>
      <c r="G21" t="s">
        <v>50</v>
      </c>
      <c r="H21">
        <v>4</v>
      </c>
      <c r="I21">
        <v>3</v>
      </c>
      <c r="J21" t="s">
        <v>23</v>
      </c>
      <c r="K21" t="s">
        <v>51</v>
      </c>
      <c r="L21">
        <v>1</v>
      </c>
      <c r="M21">
        <v>1</v>
      </c>
      <c r="N21" t="s">
        <v>44</v>
      </c>
      <c r="O21" t="s">
        <v>44</v>
      </c>
      <c r="P21" t="s">
        <v>43</v>
      </c>
      <c r="Q21" t="s">
        <v>43</v>
      </c>
      <c r="R21" t="s">
        <v>43</v>
      </c>
      <c r="S21" t="s">
        <v>44</v>
      </c>
      <c r="T21">
        <v>1</v>
      </c>
      <c r="U21">
        <v>3</v>
      </c>
      <c r="V21">
        <v>1</v>
      </c>
      <c r="W21">
        <v>3</v>
      </c>
      <c r="X21">
        <v>5</v>
      </c>
      <c r="Y21">
        <v>0</v>
      </c>
      <c r="Z21">
        <v>4</v>
      </c>
      <c r="AA21">
        <v>8</v>
      </c>
      <c r="AB21">
        <v>10</v>
      </c>
      <c r="AC21">
        <v>10</v>
      </c>
      <c r="AD21" t="s">
        <v>46</v>
      </c>
      <c r="AE21" t="s">
        <v>56</v>
      </c>
      <c r="AF21" t="s">
        <v>52</v>
      </c>
      <c r="AG21" t="s">
        <v>61</v>
      </c>
      <c r="AH21">
        <v>2</v>
      </c>
      <c r="AI21" t="s">
        <v>48</v>
      </c>
    </row>
    <row r="22" spans="1:35" x14ac:dyDescent="0.25">
      <c r="A22" t="s">
        <v>35</v>
      </c>
      <c r="B22" t="s">
        <v>59</v>
      </c>
      <c r="C22">
        <v>15</v>
      </c>
      <c r="D22" t="s">
        <v>37</v>
      </c>
      <c r="E22" t="s">
        <v>38</v>
      </c>
      <c r="F22" t="s">
        <v>49</v>
      </c>
      <c r="G22" t="s">
        <v>40</v>
      </c>
      <c r="H22">
        <v>4</v>
      </c>
      <c r="I22">
        <v>3</v>
      </c>
      <c r="J22" t="s">
        <v>42</v>
      </c>
      <c r="K22" t="s">
        <v>51</v>
      </c>
      <c r="L22">
        <v>2</v>
      </c>
      <c r="M22">
        <v>1</v>
      </c>
      <c r="N22" t="s">
        <v>44</v>
      </c>
      <c r="O22" t="s">
        <v>44</v>
      </c>
      <c r="P22" t="s">
        <v>44</v>
      </c>
      <c r="Q22" t="s">
        <v>44</v>
      </c>
      <c r="R22" t="s">
        <v>43</v>
      </c>
      <c r="S22" t="s">
        <v>44</v>
      </c>
      <c r="T22">
        <v>4</v>
      </c>
      <c r="U22">
        <v>1</v>
      </c>
      <c r="V22">
        <v>1</v>
      </c>
      <c r="W22">
        <v>1</v>
      </c>
      <c r="X22">
        <v>1</v>
      </c>
      <c r="Y22">
        <v>0</v>
      </c>
      <c r="Z22">
        <v>0</v>
      </c>
      <c r="AA22">
        <v>13</v>
      </c>
      <c r="AB22">
        <v>14</v>
      </c>
      <c r="AC22">
        <v>15</v>
      </c>
      <c r="AD22" t="s">
        <v>55</v>
      </c>
      <c r="AE22" t="s">
        <v>56</v>
      </c>
      <c r="AF22" t="s">
        <v>52</v>
      </c>
      <c r="AG22" t="s">
        <v>47</v>
      </c>
      <c r="AH22">
        <v>2</v>
      </c>
      <c r="AI22" t="s">
        <v>48</v>
      </c>
    </row>
    <row r="23" spans="1:35" x14ac:dyDescent="0.25">
      <c r="A23" t="s">
        <v>35</v>
      </c>
      <c r="B23" t="s">
        <v>59</v>
      </c>
      <c r="C23">
        <v>15</v>
      </c>
      <c r="D23" t="s">
        <v>37</v>
      </c>
      <c r="E23" t="s">
        <v>38</v>
      </c>
      <c r="F23" t="s">
        <v>49</v>
      </c>
      <c r="G23" t="s">
        <v>50</v>
      </c>
      <c r="H23">
        <v>4</v>
      </c>
      <c r="I23">
        <v>4</v>
      </c>
      <c r="J23" t="s">
        <v>23</v>
      </c>
      <c r="K23" t="s">
        <v>23</v>
      </c>
      <c r="L23">
        <v>1</v>
      </c>
      <c r="M23">
        <v>1</v>
      </c>
      <c r="N23" t="s">
        <v>44</v>
      </c>
      <c r="O23" t="s">
        <v>43</v>
      </c>
      <c r="P23" t="s">
        <v>43</v>
      </c>
      <c r="Q23" t="s">
        <v>44</v>
      </c>
      <c r="R23" t="s">
        <v>43</v>
      </c>
      <c r="S23" t="s">
        <v>44</v>
      </c>
      <c r="T23">
        <v>4</v>
      </c>
      <c r="U23">
        <v>2</v>
      </c>
      <c r="V23">
        <v>1</v>
      </c>
      <c r="W23">
        <v>1</v>
      </c>
      <c r="X23">
        <v>5</v>
      </c>
      <c r="Y23">
        <v>0</v>
      </c>
      <c r="Z23">
        <v>0</v>
      </c>
      <c r="AA23">
        <v>12</v>
      </c>
      <c r="AB23">
        <v>15</v>
      </c>
      <c r="AC23">
        <v>15</v>
      </c>
      <c r="AD23" t="s">
        <v>55</v>
      </c>
      <c r="AE23" t="s">
        <v>56</v>
      </c>
      <c r="AF23" t="s">
        <v>52</v>
      </c>
      <c r="AG23" t="s">
        <v>61</v>
      </c>
      <c r="AH23">
        <v>3</v>
      </c>
      <c r="AI23" t="s">
        <v>48</v>
      </c>
    </row>
    <row r="24" spans="1:35" x14ac:dyDescent="0.25">
      <c r="A24" t="s">
        <v>35</v>
      </c>
      <c r="B24" t="s">
        <v>59</v>
      </c>
      <c r="C24">
        <v>16</v>
      </c>
      <c r="D24" t="s">
        <v>37</v>
      </c>
      <c r="E24" t="s">
        <v>53</v>
      </c>
      <c r="F24" t="s">
        <v>49</v>
      </c>
      <c r="G24" t="s">
        <v>40</v>
      </c>
      <c r="H24">
        <v>4</v>
      </c>
      <c r="I24">
        <v>2</v>
      </c>
      <c r="J24" t="s">
        <v>42</v>
      </c>
      <c r="K24" t="s">
        <v>51</v>
      </c>
      <c r="L24">
        <v>2</v>
      </c>
      <c r="M24">
        <v>1</v>
      </c>
      <c r="N24" t="s">
        <v>44</v>
      </c>
      <c r="O24" t="s">
        <v>44</v>
      </c>
      <c r="P24" t="s">
        <v>44</v>
      </c>
      <c r="Q24" t="s">
        <v>43</v>
      </c>
      <c r="R24" t="s">
        <v>43</v>
      </c>
      <c r="S24" t="s">
        <v>44</v>
      </c>
      <c r="T24">
        <v>5</v>
      </c>
      <c r="U24">
        <v>1</v>
      </c>
      <c r="V24">
        <v>1</v>
      </c>
      <c r="W24">
        <v>3</v>
      </c>
      <c r="X24">
        <v>5</v>
      </c>
      <c r="Y24">
        <v>0</v>
      </c>
      <c r="Z24">
        <v>2</v>
      </c>
      <c r="AA24">
        <v>15</v>
      </c>
      <c r="AB24">
        <v>15</v>
      </c>
      <c r="AC24">
        <v>16</v>
      </c>
      <c r="AD24" t="s">
        <v>55</v>
      </c>
      <c r="AE24" t="s">
        <v>56</v>
      </c>
      <c r="AF24" t="s">
        <v>52</v>
      </c>
      <c r="AG24" t="s">
        <v>47</v>
      </c>
      <c r="AH24">
        <v>1</v>
      </c>
      <c r="AI24" t="s">
        <v>48</v>
      </c>
    </row>
    <row r="25" spans="1:35" x14ac:dyDescent="0.25">
      <c r="A25" t="s">
        <v>35</v>
      </c>
      <c r="B25" t="s">
        <v>59</v>
      </c>
      <c r="C25">
        <v>16</v>
      </c>
      <c r="D25" t="s">
        <v>37</v>
      </c>
      <c r="E25" t="s">
        <v>53</v>
      </c>
      <c r="F25" t="s">
        <v>49</v>
      </c>
      <c r="G25" t="s">
        <v>40</v>
      </c>
      <c r="H25">
        <v>2</v>
      </c>
      <c r="I25">
        <v>2</v>
      </c>
      <c r="J25" t="s">
        <v>51</v>
      </c>
      <c r="K25" t="s">
        <v>51</v>
      </c>
      <c r="L25">
        <v>2</v>
      </c>
      <c r="M25">
        <v>2</v>
      </c>
      <c r="N25" t="s">
        <v>44</v>
      </c>
      <c r="O25" t="s">
        <v>43</v>
      </c>
      <c r="P25" t="s">
        <v>44</v>
      </c>
      <c r="Q25" t="s">
        <v>43</v>
      </c>
      <c r="R25" t="s">
        <v>43</v>
      </c>
      <c r="S25" t="s">
        <v>44</v>
      </c>
      <c r="T25">
        <v>4</v>
      </c>
      <c r="U25">
        <v>4</v>
      </c>
      <c r="V25">
        <v>2</v>
      </c>
      <c r="W25">
        <v>4</v>
      </c>
      <c r="X25">
        <v>5</v>
      </c>
      <c r="Y25">
        <v>0</v>
      </c>
      <c r="Z25">
        <v>0</v>
      </c>
      <c r="AA25">
        <v>13</v>
      </c>
      <c r="AB25">
        <v>13</v>
      </c>
      <c r="AC25">
        <v>12</v>
      </c>
      <c r="AD25" t="s">
        <v>46</v>
      </c>
      <c r="AE25" t="s">
        <v>56</v>
      </c>
      <c r="AF25" t="s">
        <v>52</v>
      </c>
      <c r="AG25" t="s">
        <v>47</v>
      </c>
      <c r="AH25">
        <v>-1</v>
      </c>
      <c r="AI25" t="s">
        <v>60</v>
      </c>
    </row>
    <row r="26" spans="1:35" x14ac:dyDescent="0.25">
      <c r="A26" t="s">
        <v>35</v>
      </c>
      <c r="B26" t="s">
        <v>36</v>
      </c>
      <c r="C26">
        <v>15</v>
      </c>
      <c r="D26" t="s">
        <v>63</v>
      </c>
      <c r="E26" t="s">
        <v>38</v>
      </c>
      <c r="F26" t="s">
        <v>49</v>
      </c>
      <c r="G26" t="s">
        <v>40</v>
      </c>
      <c r="H26">
        <v>2</v>
      </c>
      <c r="I26">
        <v>4</v>
      </c>
      <c r="J26" t="s">
        <v>54</v>
      </c>
      <c r="K26" t="s">
        <v>23</v>
      </c>
      <c r="L26">
        <v>3</v>
      </c>
      <c r="M26">
        <v>1</v>
      </c>
      <c r="N26" t="s">
        <v>43</v>
      </c>
      <c r="O26" t="s">
        <v>43</v>
      </c>
      <c r="P26" t="s">
        <v>43</v>
      </c>
      <c r="Q26" t="s">
        <v>43</v>
      </c>
      <c r="R26" t="s">
        <v>43</v>
      </c>
      <c r="S26" t="s">
        <v>44</v>
      </c>
      <c r="T26">
        <v>3</v>
      </c>
      <c r="U26">
        <v>2</v>
      </c>
      <c r="V26">
        <v>1</v>
      </c>
      <c r="W26">
        <v>1</v>
      </c>
      <c r="X26">
        <v>5</v>
      </c>
      <c r="Y26">
        <v>0</v>
      </c>
      <c r="Z26">
        <v>2</v>
      </c>
      <c r="AA26">
        <v>10</v>
      </c>
      <c r="AB26">
        <v>9</v>
      </c>
      <c r="AC26">
        <v>8</v>
      </c>
      <c r="AD26" t="s">
        <v>45</v>
      </c>
      <c r="AE26" t="s">
        <v>45</v>
      </c>
      <c r="AF26" t="s">
        <v>52</v>
      </c>
      <c r="AG26" t="s">
        <v>57</v>
      </c>
      <c r="AH26">
        <v>-2</v>
      </c>
      <c r="AI26" t="s">
        <v>60</v>
      </c>
    </row>
    <row r="27" spans="1:35" x14ac:dyDescent="0.25">
      <c r="A27" t="s">
        <v>35</v>
      </c>
      <c r="B27" t="s">
        <v>36</v>
      </c>
      <c r="C27">
        <v>16</v>
      </c>
      <c r="D27" t="s">
        <v>37</v>
      </c>
      <c r="E27" t="s">
        <v>38</v>
      </c>
      <c r="F27" t="s">
        <v>49</v>
      </c>
      <c r="G27" t="s">
        <v>40</v>
      </c>
      <c r="H27">
        <v>2</v>
      </c>
      <c r="I27">
        <v>2</v>
      </c>
      <c r="J27" t="s">
        <v>54</v>
      </c>
      <c r="K27" t="s">
        <v>54</v>
      </c>
      <c r="L27">
        <v>1</v>
      </c>
      <c r="M27">
        <v>1</v>
      </c>
      <c r="N27" t="s">
        <v>44</v>
      </c>
      <c r="O27" t="s">
        <v>43</v>
      </c>
      <c r="P27" t="s">
        <v>43</v>
      </c>
      <c r="Q27" t="s">
        <v>44</v>
      </c>
      <c r="R27" t="s">
        <v>43</v>
      </c>
      <c r="S27" t="s">
        <v>44</v>
      </c>
      <c r="T27">
        <v>2</v>
      </c>
      <c r="U27">
        <v>2</v>
      </c>
      <c r="V27">
        <v>1</v>
      </c>
      <c r="W27">
        <v>3</v>
      </c>
      <c r="X27">
        <v>5</v>
      </c>
      <c r="Y27">
        <v>2</v>
      </c>
      <c r="Z27">
        <v>14</v>
      </c>
      <c r="AA27">
        <v>6</v>
      </c>
      <c r="AB27">
        <v>9</v>
      </c>
      <c r="AC27">
        <v>8</v>
      </c>
      <c r="AD27" t="s">
        <v>45</v>
      </c>
      <c r="AE27" t="s">
        <v>45</v>
      </c>
      <c r="AF27" t="s">
        <v>46</v>
      </c>
      <c r="AG27" t="s">
        <v>61</v>
      </c>
      <c r="AH27">
        <v>2</v>
      </c>
      <c r="AI27" t="s">
        <v>48</v>
      </c>
    </row>
    <row r="28" spans="1:35" x14ac:dyDescent="0.25">
      <c r="A28" t="s">
        <v>35</v>
      </c>
      <c r="B28" t="s">
        <v>59</v>
      </c>
      <c r="C28">
        <v>15</v>
      </c>
      <c r="D28" t="s">
        <v>37</v>
      </c>
      <c r="E28" t="s">
        <v>38</v>
      </c>
      <c r="F28" t="s">
        <v>49</v>
      </c>
      <c r="G28" t="s">
        <v>40</v>
      </c>
      <c r="H28">
        <v>2</v>
      </c>
      <c r="I28">
        <v>2</v>
      </c>
      <c r="J28" t="s">
        <v>51</v>
      </c>
      <c r="K28" t="s">
        <v>51</v>
      </c>
      <c r="L28">
        <v>1</v>
      </c>
      <c r="M28">
        <v>1</v>
      </c>
      <c r="N28" t="s">
        <v>44</v>
      </c>
      <c r="O28" t="s">
        <v>43</v>
      </c>
      <c r="P28" t="s">
        <v>43</v>
      </c>
      <c r="Q28" t="s">
        <v>44</v>
      </c>
      <c r="R28" t="s">
        <v>43</v>
      </c>
      <c r="S28" t="s">
        <v>44</v>
      </c>
      <c r="T28">
        <v>2</v>
      </c>
      <c r="U28">
        <v>2</v>
      </c>
      <c r="V28">
        <v>1</v>
      </c>
      <c r="W28">
        <v>2</v>
      </c>
      <c r="X28">
        <v>5</v>
      </c>
      <c r="Y28">
        <v>0</v>
      </c>
      <c r="Z28">
        <v>2</v>
      </c>
      <c r="AA28">
        <v>12</v>
      </c>
      <c r="AB28">
        <v>12</v>
      </c>
      <c r="AC28">
        <v>11</v>
      </c>
      <c r="AD28" t="s">
        <v>46</v>
      </c>
      <c r="AE28" t="s">
        <v>56</v>
      </c>
      <c r="AF28" t="s">
        <v>52</v>
      </c>
      <c r="AG28" t="s">
        <v>61</v>
      </c>
      <c r="AH28">
        <v>-1</v>
      </c>
      <c r="AI28" t="s">
        <v>60</v>
      </c>
    </row>
    <row r="29" spans="1:35" x14ac:dyDescent="0.25">
      <c r="A29" t="s">
        <v>35</v>
      </c>
      <c r="B29" t="s">
        <v>59</v>
      </c>
      <c r="C29">
        <v>15</v>
      </c>
      <c r="D29" t="s">
        <v>37</v>
      </c>
      <c r="E29" t="s">
        <v>38</v>
      </c>
      <c r="F29" t="s">
        <v>49</v>
      </c>
      <c r="G29" t="s">
        <v>40</v>
      </c>
      <c r="H29">
        <v>4</v>
      </c>
      <c r="I29">
        <v>2</v>
      </c>
      <c r="J29" t="s">
        <v>23</v>
      </c>
      <c r="K29" t="s">
        <v>54</v>
      </c>
      <c r="L29">
        <v>1</v>
      </c>
      <c r="M29">
        <v>1</v>
      </c>
      <c r="N29" t="s">
        <v>44</v>
      </c>
      <c r="O29" t="s">
        <v>44</v>
      </c>
      <c r="P29" t="s">
        <v>43</v>
      </c>
      <c r="Q29" t="s">
        <v>44</v>
      </c>
      <c r="R29" t="s">
        <v>43</v>
      </c>
      <c r="S29" t="s">
        <v>44</v>
      </c>
      <c r="T29">
        <v>2</v>
      </c>
      <c r="U29">
        <v>4</v>
      </c>
      <c r="V29">
        <v>2</v>
      </c>
      <c r="W29">
        <v>4</v>
      </c>
      <c r="X29">
        <v>1</v>
      </c>
      <c r="Y29">
        <v>0</v>
      </c>
      <c r="Z29">
        <v>4</v>
      </c>
      <c r="AA29">
        <v>15</v>
      </c>
      <c r="AB29">
        <v>16</v>
      </c>
      <c r="AC29">
        <v>15</v>
      </c>
      <c r="AD29" t="s">
        <v>55</v>
      </c>
      <c r="AE29" t="s">
        <v>56</v>
      </c>
      <c r="AF29" t="s">
        <v>52</v>
      </c>
      <c r="AG29" t="s">
        <v>61</v>
      </c>
      <c r="AH29">
        <v>0</v>
      </c>
      <c r="AI29" t="s">
        <v>58</v>
      </c>
    </row>
    <row r="30" spans="1:35" x14ac:dyDescent="0.25">
      <c r="A30" t="s">
        <v>35</v>
      </c>
      <c r="B30" t="s">
        <v>59</v>
      </c>
      <c r="C30">
        <v>16</v>
      </c>
      <c r="D30" t="s">
        <v>37</v>
      </c>
      <c r="E30" t="s">
        <v>53</v>
      </c>
      <c r="F30" t="s">
        <v>39</v>
      </c>
      <c r="G30" t="s">
        <v>40</v>
      </c>
      <c r="H30">
        <v>3</v>
      </c>
      <c r="I30">
        <v>4</v>
      </c>
      <c r="J30" t="s">
        <v>54</v>
      </c>
      <c r="K30" t="s">
        <v>51</v>
      </c>
      <c r="L30">
        <v>2</v>
      </c>
      <c r="M30">
        <v>1</v>
      </c>
      <c r="N30" t="s">
        <v>43</v>
      </c>
      <c r="O30" t="s">
        <v>43</v>
      </c>
      <c r="P30" t="s">
        <v>44</v>
      </c>
      <c r="Q30" t="s">
        <v>43</v>
      </c>
      <c r="R30" t="s">
        <v>43</v>
      </c>
      <c r="S30" t="s">
        <v>44</v>
      </c>
      <c r="T30">
        <v>3</v>
      </c>
      <c r="U30">
        <v>3</v>
      </c>
      <c r="V30">
        <v>1</v>
      </c>
      <c r="W30">
        <v>1</v>
      </c>
      <c r="X30">
        <v>5</v>
      </c>
      <c r="Y30">
        <v>0</v>
      </c>
      <c r="Z30">
        <v>4</v>
      </c>
      <c r="AA30">
        <v>11</v>
      </c>
      <c r="AB30">
        <v>11</v>
      </c>
      <c r="AC30">
        <v>11</v>
      </c>
      <c r="AD30" t="s">
        <v>46</v>
      </c>
      <c r="AE30" t="s">
        <v>56</v>
      </c>
      <c r="AF30" t="s">
        <v>52</v>
      </c>
      <c r="AG30" t="s">
        <v>47</v>
      </c>
      <c r="AH30">
        <v>0</v>
      </c>
      <c r="AI30" t="s">
        <v>58</v>
      </c>
    </row>
    <row r="31" spans="1:35" x14ac:dyDescent="0.25">
      <c r="A31" t="s">
        <v>35</v>
      </c>
      <c r="B31" t="s">
        <v>59</v>
      </c>
      <c r="C31">
        <v>16</v>
      </c>
      <c r="D31" t="s">
        <v>37</v>
      </c>
      <c r="E31" t="s">
        <v>38</v>
      </c>
      <c r="F31" t="s">
        <v>49</v>
      </c>
      <c r="G31" t="s">
        <v>40</v>
      </c>
      <c r="H31">
        <v>4</v>
      </c>
      <c r="I31">
        <v>4</v>
      </c>
      <c r="J31" t="s">
        <v>42</v>
      </c>
      <c r="K31" t="s">
        <v>42</v>
      </c>
      <c r="L31">
        <v>2</v>
      </c>
      <c r="M31">
        <v>1</v>
      </c>
      <c r="N31" t="s">
        <v>44</v>
      </c>
      <c r="O31" t="s">
        <v>43</v>
      </c>
      <c r="P31" t="s">
        <v>43</v>
      </c>
      <c r="Q31" t="s">
        <v>43</v>
      </c>
      <c r="R31" t="s">
        <v>43</v>
      </c>
      <c r="S31" t="s">
        <v>43</v>
      </c>
      <c r="T31">
        <v>4</v>
      </c>
      <c r="U31">
        <v>5</v>
      </c>
      <c r="V31">
        <v>5</v>
      </c>
      <c r="W31">
        <v>5</v>
      </c>
      <c r="X31">
        <v>5</v>
      </c>
      <c r="Y31">
        <v>0</v>
      </c>
      <c r="Z31">
        <v>16</v>
      </c>
      <c r="AA31">
        <v>10</v>
      </c>
      <c r="AB31">
        <v>12</v>
      </c>
      <c r="AC31">
        <v>11</v>
      </c>
      <c r="AD31" t="s">
        <v>46</v>
      </c>
      <c r="AE31" t="s">
        <v>45</v>
      </c>
      <c r="AF31" t="s">
        <v>62</v>
      </c>
      <c r="AG31" t="s">
        <v>47</v>
      </c>
      <c r="AH31">
        <v>1</v>
      </c>
      <c r="AI31" t="s">
        <v>48</v>
      </c>
    </row>
    <row r="32" spans="1:35" x14ac:dyDescent="0.25">
      <c r="A32" t="s">
        <v>35</v>
      </c>
      <c r="B32" t="s">
        <v>59</v>
      </c>
      <c r="C32">
        <v>15</v>
      </c>
      <c r="D32" t="s">
        <v>37</v>
      </c>
      <c r="E32" t="s">
        <v>38</v>
      </c>
      <c r="F32" t="s">
        <v>49</v>
      </c>
      <c r="G32" t="s">
        <v>40</v>
      </c>
      <c r="H32">
        <v>4</v>
      </c>
      <c r="I32">
        <v>4</v>
      </c>
      <c r="J32" t="s">
        <v>23</v>
      </c>
      <c r="K32" t="s">
        <v>54</v>
      </c>
      <c r="L32">
        <v>2</v>
      </c>
      <c r="M32">
        <v>1</v>
      </c>
      <c r="N32" t="s">
        <v>44</v>
      </c>
      <c r="O32" t="s">
        <v>43</v>
      </c>
      <c r="P32" t="s">
        <v>43</v>
      </c>
      <c r="Q32" t="s">
        <v>44</v>
      </c>
      <c r="R32" t="s">
        <v>43</v>
      </c>
      <c r="S32" t="s">
        <v>44</v>
      </c>
      <c r="T32">
        <v>4</v>
      </c>
      <c r="U32">
        <v>2</v>
      </c>
      <c r="V32">
        <v>3</v>
      </c>
      <c r="W32">
        <v>4</v>
      </c>
      <c r="X32">
        <v>5</v>
      </c>
      <c r="Y32">
        <v>0</v>
      </c>
      <c r="Z32">
        <v>0</v>
      </c>
      <c r="AA32">
        <v>9</v>
      </c>
      <c r="AB32">
        <v>11</v>
      </c>
      <c r="AC32">
        <v>12</v>
      </c>
      <c r="AD32" t="s">
        <v>46</v>
      </c>
      <c r="AE32" t="s">
        <v>56</v>
      </c>
      <c r="AF32" t="s">
        <v>52</v>
      </c>
      <c r="AG32" t="s">
        <v>47</v>
      </c>
      <c r="AH32">
        <v>3</v>
      </c>
      <c r="AI32" t="s">
        <v>48</v>
      </c>
    </row>
    <row r="33" spans="1:35" x14ac:dyDescent="0.25">
      <c r="A33" t="s">
        <v>35</v>
      </c>
      <c r="B33" t="s">
        <v>59</v>
      </c>
      <c r="C33">
        <v>15</v>
      </c>
      <c r="D33" t="s">
        <v>37</v>
      </c>
      <c r="E33" t="s">
        <v>38</v>
      </c>
      <c r="F33" t="s">
        <v>49</v>
      </c>
      <c r="G33" t="s">
        <v>40</v>
      </c>
      <c r="H33">
        <v>4</v>
      </c>
      <c r="I33">
        <v>4</v>
      </c>
      <c r="J33" t="s">
        <v>54</v>
      </c>
      <c r="K33" t="s">
        <v>54</v>
      </c>
      <c r="L33">
        <v>2</v>
      </c>
      <c r="M33">
        <v>2</v>
      </c>
      <c r="N33" t="s">
        <v>44</v>
      </c>
      <c r="O33" t="s">
        <v>43</v>
      </c>
      <c r="P33" t="s">
        <v>44</v>
      </c>
      <c r="Q33" t="s">
        <v>43</v>
      </c>
      <c r="R33" t="s">
        <v>43</v>
      </c>
      <c r="S33" t="s">
        <v>44</v>
      </c>
      <c r="T33">
        <v>3</v>
      </c>
      <c r="U33">
        <v>1</v>
      </c>
      <c r="V33">
        <v>1</v>
      </c>
      <c r="W33">
        <v>1</v>
      </c>
      <c r="X33">
        <v>5</v>
      </c>
      <c r="Y33">
        <v>0</v>
      </c>
      <c r="Z33">
        <v>0</v>
      </c>
      <c r="AA33">
        <v>17</v>
      </c>
      <c r="AB33">
        <v>16</v>
      </c>
      <c r="AC33">
        <v>17</v>
      </c>
      <c r="AD33" t="s">
        <v>55</v>
      </c>
      <c r="AE33" t="s">
        <v>56</v>
      </c>
      <c r="AF33" t="s">
        <v>52</v>
      </c>
      <c r="AG33" t="s">
        <v>47</v>
      </c>
      <c r="AH33">
        <v>0</v>
      </c>
      <c r="AI33" t="s">
        <v>58</v>
      </c>
    </row>
    <row r="34" spans="1:35" x14ac:dyDescent="0.25">
      <c r="A34" t="s">
        <v>35</v>
      </c>
      <c r="B34" t="s">
        <v>59</v>
      </c>
      <c r="C34">
        <v>15</v>
      </c>
      <c r="D34" t="s">
        <v>63</v>
      </c>
      <c r="E34" t="s">
        <v>38</v>
      </c>
      <c r="F34" t="s">
        <v>49</v>
      </c>
      <c r="G34" t="s">
        <v>40</v>
      </c>
      <c r="H34">
        <v>4</v>
      </c>
      <c r="I34">
        <v>3</v>
      </c>
      <c r="J34" t="s">
        <v>42</v>
      </c>
      <c r="K34" t="s">
        <v>41</v>
      </c>
      <c r="L34">
        <v>2</v>
      </c>
      <c r="M34">
        <v>1</v>
      </c>
      <c r="N34" t="s">
        <v>44</v>
      </c>
      <c r="O34" t="s">
        <v>43</v>
      </c>
      <c r="P34" t="s">
        <v>44</v>
      </c>
      <c r="Q34" t="s">
        <v>43</v>
      </c>
      <c r="R34" t="s">
        <v>43</v>
      </c>
      <c r="S34" t="s">
        <v>43</v>
      </c>
      <c r="T34">
        <v>5</v>
      </c>
      <c r="U34">
        <v>2</v>
      </c>
      <c r="V34">
        <v>1</v>
      </c>
      <c r="W34">
        <v>1</v>
      </c>
      <c r="X34">
        <v>5</v>
      </c>
      <c r="Y34">
        <v>0</v>
      </c>
      <c r="Z34">
        <v>0</v>
      </c>
      <c r="AA34">
        <v>17</v>
      </c>
      <c r="AB34">
        <v>16</v>
      </c>
      <c r="AC34">
        <v>16</v>
      </c>
      <c r="AD34" t="s">
        <v>55</v>
      </c>
      <c r="AE34" t="s">
        <v>56</v>
      </c>
      <c r="AF34" t="s">
        <v>52</v>
      </c>
      <c r="AG34" t="s">
        <v>47</v>
      </c>
      <c r="AH34">
        <v>-1</v>
      </c>
      <c r="AI34" t="s">
        <v>60</v>
      </c>
    </row>
    <row r="35" spans="1:35" x14ac:dyDescent="0.25">
      <c r="A35" t="s">
        <v>35</v>
      </c>
      <c r="B35" t="s">
        <v>59</v>
      </c>
      <c r="C35">
        <v>15</v>
      </c>
      <c r="D35" t="s">
        <v>37</v>
      </c>
      <c r="E35" t="s">
        <v>53</v>
      </c>
      <c r="F35" t="s">
        <v>49</v>
      </c>
      <c r="G35" t="s">
        <v>40</v>
      </c>
      <c r="H35">
        <v>3</v>
      </c>
      <c r="I35">
        <v>3</v>
      </c>
      <c r="J35" t="s">
        <v>51</v>
      </c>
      <c r="K35" t="s">
        <v>51</v>
      </c>
      <c r="L35">
        <v>2</v>
      </c>
      <c r="M35">
        <v>1</v>
      </c>
      <c r="N35" t="s">
        <v>44</v>
      </c>
      <c r="O35" t="s">
        <v>44</v>
      </c>
      <c r="P35" t="s">
        <v>44</v>
      </c>
      <c r="Q35" t="s">
        <v>43</v>
      </c>
      <c r="R35" t="s">
        <v>43</v>
      </c>
      <c r="S35" t="s">
        <v>44</v>
      </c>
      <c r="T35">
        <v>3</v>
      </c>
      <c r="U35">
        <v>2</v>
      </c>
      <c r="V35">
        <v>1</v>
      </c>
      <c r="W35">
        <v>1</v>
      </c>
      <c r="X35">
        <v>2</v>
      </c>
      <c r="Y35">
        <v>0</v>
      </c>
      <c r="Z35">
        <v>0</v>
      </c>
      <c r="AA35">
        <v>8</v>
      </c>
      <c r="AB35">
        <v>10</v>
      </c>
      <c r="AC35">
        <v>12</v>
      </c>
      <c r="AD35" t="s">
        <v>46</v>
      </c>
      <c r="AE35" t="s">
        <v>56</v>
      </c>
      <c r="AF35" t="s">
        <v>52</v>
      </c>
      <c r="AG35" t="s">
        <v>47</v>
      </c>
      <c r="AH35">
        <v>4</v>
      </c>
      <c r="AI35" t="s">
        <v>48</v>
      </c>
    </row>
    <row r="36" spans="1:35" x14ac:dyDescent="0.25">
      <c r="A36" t="s">
        <v>35</v>
      </c>
      <c r="B36" t="s">
        <v>59</v>
      </c>
      <c r="C36">
        <v>16</v>
      </c>
      <c r="D36" t="s">
        <v>37</v>
      </c>
      <c r="E36" t="s">
        <v>38</v>
      </c>
      <c r="F36" t="s">
        <v>49</v>
      </c>
      <c r="G36" t="s">
        <v>40</v>
      </c>
      <c r="H36">
        <v>3</v>
      </c>
      <c r="I36">
        <v>2</v>
      </c>
      <c r="J36" t="s">
        <v>51</v>
      </c>
      <c r="K36" t="s">
        <v>51</v>
      </c>
      <c r="L36">
        <v>1</v>
      </c>
      <c r="M36">
        <v>1</v>
      </c>
      <c r="N36" t="s">
        <v>44</v>
      </c>
      <c r="O36" t="s">
        <v>43</v>
      </c>
      <c r="P36" t="s">
        <v>43</v>
      </c>
      <c r="Q36" t="s">
        <v>44</v>
      </c>
      <c r="R36" t="s">
        <v>43</v>
      </c>
      <c r="S36" t="s">
        <v>44</v>
      </c>
      <c r="T36">
        <v>4</v>
      </c>
      <c r="U36">
        <v>3</v>
      </c>
      <c r="V36">
        <v>1</v>
      </c>
      <c r="W36">
        <v>1</v>
      </c>
      <c r="X36">
        <v>5</v>
      </c>
      <c r="Y36">
        <v>0</v>
      </c>
      <c r="Z36">
        <v>0</v>
      </c>
      <c r="AA36">
        <v>12</v>
      </c>
      <c r="AB36">
        <v>14</v>
      </c>
      <c r="AC36">
        <v>15</v>
      </c>
      <c r="AD36" t="s">
        <v>55</v>
      </c>
      <c r="AE36" t="s">
        <v>56</v>
      </c>
      <c r="AF36" t="s">
        <v>52</v>
      </c>
      <c r="AG36" t="s">
        <v>61</v>
      </c>
      <c r="AH36">
        <v>3</v>
      </c>
      <c r="AI36" t="s">
        <v>48</v>
      </c>
    </row>
    <row r="37" spans="1:35" x14ac:dyDescent="0.25">
      <c r="A37" t="s">
        <v>35</v>
      </c>
      <c r="B37" t="s">
        <v>36</v>
      </c>
      <c r="C37">
        <v>15</v>
      </c>
      <c r="D37" t="s">
        <v>37</v>
      </c>
      <c r="E37" t="s">
        <v>38</v>
      </c>
      <c r="F37" t="s">
        <v>49</v>
      </c>
      <c r="G37" t="s">
        <v>50</v>
      </c>
      <c r="H37">
        <v>2</v>
      </c>
      <c r="I37">
        <v>3</v>
      </c>
      <c r="J37" t="s">
        <v>51</v>
      </c>
      <c r="K37" t="s">
        <v>51</v>
      </c>
      <c r="L37">
        <v>1</v>
      </c>
      <c r="M37">
        <v>2</v>
      </c>
      <c r="N37" t="s">
        <v>44</v>
      </c>
      <c r="O37" t="s">
        <v>43</v>
      </c>
      <c r="P37" t="s">
        <v>44</v>
      </c>
      <c r="Q37" t="s">
        <v>43</v>
      </c>
      <c r="R37" t="s">
        <v>44</v>
      </c>
      <c r="S37" t="s">
        <v>44</v>
      </c>
      <c r="T37">
        <v>5</v>
      </c>
      <c r="U37">
        <v>1</v>
      </c>
      <c r="V37">
        <v>1</v>
      </c>
      <c r="W37">
        <v>1</v>
      </c>
      <c r="X37">
        <v>5</v>
      </c>
      <c r="Y37">
        <v>0</v>
      </c>
      <c r="Z37">
        <v>0</v>
      </c>
      <c r="AA37">
        <v>8</v>
      </c>
      <c r="AB37">
        <v>7</v>
      </c>
      <c r="AC37">
        <v>6</v>
      </c>
      <c r="AD37" t="s">
        <v>45</v>
      </c>
      <c r="AE37" t="s">
        <v>45</v>
      </c>
      <c r="AF37" t="s">
        <v>52</v>
      </c>
      <c r="AG37" t="s">
        <v>61</v>
      </c>
      <c r="AH37">
        <v>-2</v>
      </c>
      <c r="AI37" t="s">
        <v>60</v>
      </c>
    </row>
    <row r="38" spans="1:35" x14ac:dyDescent="0.25">
      <c r="A38" t="s">
        <v>35</v>
      </c>
      <c r="B38" t="s">
        <v>59</v>
      </c>
      <c r="C38">
        <v>15</v>
      </c>
      <c r="D38" t="s">
        <v>37</v>
      </c>
      <c r="E38" t="s">
        <v>53</v>
      </c>
      <c r="F38" t="s">
        <v>49</v>
      </c>
      <c r="G38" t="s">
        <v>40</v>
      </c>
      <c r="H38">
        <v>4</v>
      </c>
      <c r="I38">
        <v>3</v>
      </c>
      <c r="J38" t="s">
        <v>42</v>
      </c>
      <c r="K38" t="s">
        <v>54</v>
      </c>
      <c r="L38">
        <v>3</v>
      </c>
      <c r="M38">
        <v>1</v>
      </c>
      <c r="N38" t="s">
        <v>44</v>
      </c>
      <c r="O38" t="s">
        <v>43</v>
      </c>
      <c r="P38" t="s">
        <v>44</v>
      </c>
      <c r="Q38" t="s">
        <v>43</v>
      </c>
      <c r="R38" t="s">
        <v>43</v>
      </c>
      <c r="S38" t="s">
        <v>44</v>
      </c>
      <c r="T38">
        <v>4</v>
      </c>
      <c r="U38">
        <v>3</v>
      </c>
      <c r="V38">
        <v>1</v>
      </c>
      <c r="W38">
        <v>1</v>
      </c>
      <c r="X38">
        <v>4</v>
      </c>
      <c r="Y38">
        <v>0</v>
      </c>
      <c r="Z38">
        <v>2</v>
      </c>
      <c r="AA38">
        <v>15</v>
      </c>
      <c r="AB38">
        <v>16</v>
      </c>
      <c r="AC38">
        <v>18</v>
      </c>
      <c r="AD38" t="s">
        <v>55</v>
      </c>
      <c r="AE38" t="s">
        <v>56</v>
      </c>
      <c r="AF38" t="s">
        <v>52</v>
      </c>
      <c r="AG38" t="s">
        <v>57</v>
      </c>
      <c r="AH38">
        <v>3</v>
      </c>
      <c r="AI38" t="s">
        <v>48</v>
      </c>
    </row>
    <row r="39" spans="1:35" x14ac:dyDescent="0.25">
      <c r="A39" t="s">
        <v>35</v>
      </c>
      <c r="B39" t="s">
        <v>59</v>
      </c>
      <c r="C39">
        <v>16</v>
      </c>
      <c r="D39" t="s">
        <v>63</v>
      </c>
      <c r="E39" t="s">
        <v>38</v>
      </c>
      <c r="F39" t="s">
        <v>39</v>
      </c>
      <c r="G39" t="s">
        <v>40</v>
      </c>
      <c r="H39">
        <v>4</v>
      </c>
      <c r="I39">
        <v>4</v>
      </c>
      <c r="J39" t="s">
        <v>51</v>
      </c>
      <c r="K39" t="s">
        <v>42</v>
      </c>
      <c r="L39">
        <v>3</v>
      </c>
      <c r="M39">
        <v>2</v>
      </c>
      <c r="N39" t="s">
        <v>44</v>
      </c>
      <c r="O39" t="s">
        <v>43</v>
      </c>
      <c r="P39" t="s">
        <v>44</v>
      </c>
      <c r="Q39" t="s">
        <v>43</v>
      </c>
      <c r="R39" t="s">
        <v>43</v>
      </c>
      <c r="S39" t="s">
        <v>43</v>
      </c>
      <c r="T39">
        <v>4</v>
      </c>
      <c r="U39">
        <v>3</v>
      </c>
      <c r="V39">
        <v>1</v>
      </c>
      <c r="W39">
        <v>1</v>
      </c>
      <c r="X39">
        <v>5</v>
      </c>
      <c r="Y39">
        <v>0</v>
      </c>
      <c r="Z39">
        <v>7</v>
      </c>
      <c r="AA39">
        <v>15</v>
      </c>
      <c r="AB39">
        <v>16</v>
      </c>
      <c r="AC39">
        <v>15</v>
      </c>
      <c r="AD39" t="s">
        <v>55</v>
      </c>
      <c r="AE39" t="s">
        <v>56</v>
      </c>
      <c r="AF39" t="s">
        <v>46</v>
      </c>
      <c r="AG39" t="s">
        <v>57</v>
      </c>
      <c r="AH39">
        <v>0</v>
      </c>
      <c r="AI39" t="s">
        <v>58</v>
      </c>
    </row>
    <row r="40" spans="1:35" x14ac:dyDescent="0.25">
      <c r="A40" t="s">
        <v>35</v>
      </c>
      <c r="B40" t="s">
        <v>36</v>
      </c>
      <c r="C40">
        <v>15</v>
      </c>
      <c r="D40" t="s">
        <v>63</v>
      </c>
      <c r="E40" t="s">
        <v>38</v>
      </c>
      <c r="F40" t="s">
        <v>49</v>
      </c>
      <c r="G40" t="s">
        <v>40</v>
      </c>
      <c r="H40">
        <v>3</v>
      </c>
      <c r="I40">
        <v>4</v>
      </c>
      <c r="J40" t="s">
        <v>54</v>
      </c>
      <c r="K40" t="s">
        <v>23</v>
      </c>
      <c r="L40">
        <v>3</v>
      </c>
      <c r="M40">
        <v>1</v>
      </c>
      <c r="N40" t="s">
        <v>43</v>
      </c>
      <c r="O40" t="s">
        <v>43</v>
      </c>
      <c r="P40" t="s">
        <v>43</v>
      </c>
      <c r="Q40" t="s">
        <v>43</v>
      </c>
      <c r="R40" t="s">
        <v>43</v>
      </c>
      <c r="S40" t="s">
        <v>44</v>
      </c>
      <c r="T40">
        <v>3</v>
      </c>
      <c r="U40">
        <v>2</v>
      </c>
      <c r="V40">
        <v>1</v>
      </c>
      <c r="W40">
        <v>1</v>
      </c>
      <c r="X40">
        <v>5</v>
      </c>
      <c r="Y40">
        <v>0</v>
      </c>
      <c r="Z40">
        <v>2</v>
      </c>
      <c r="AA40">
        <v>12</v>
      </c>
      <c r="AB40">
        <v>12</v>
      </c>
      <c r="AC40">
        <v>11</v>
      </c>
      <c r="AD40" t="s">
        <v>46</v>
      </c>
      <c r="AE40" t="s">
        <v>56</v>
      </c>
      <c r="AF40" t="s">
        <v>52</v>
      </c>
      <c r="AG40" t="s">
        <v>57</v>
      </c>
      <c r="AH40">
        <v>-1</v>
      </c>
      <c r="AI40" t="s">
        <v>60</v>
      </c>
    </row>
    <row r="41" spans="1:35" x14ac:dyDescent="0.25">
      <c r="A41" t="s">
        <v>35</v>
      </c>
      <c r="B41" t="s">
        <v>36</v>
      </c>
      <c r="C41">
        <v>15</v>
      </c>
      <c r="D41" t="s">
        <v>63</v>
      </c>
      <c r="E41" t="s">
        <v>38</v>
      </c>
      <c r="F41" t="s">
        <v>49</v>
      </c>
      <c r="G41" t="s">
        <v>40</v>
      </c>
      <c r="H41">
        <v>2</v>
      </c>
      <c r="I41">
        <v>2</v>
      </c>
      <c r="J41" t="s">
        <v>41</v>
      </c>
      <c r="K41" t="s">
        <v>51</v>
      </c>
      <c r="L41">
        <v>1</v>
      </c>
      <c r="M41">
        <v>1</v>
      </c>
      <c r="N41" t="s">
        <v>43</v>
      </c>
      <c r="O41" t="s">
        <v>43</v>
      </c>
      <c r="P41" t="s">
        <v>43</v>
      </c>
      <c r="Q41" t="s">
        <v>43</v>
      </c>
      <c r="R41" t="s">
        <v>44</v>
      </c>
      <c r="S41" t="s">
        <v>44</v>
      </c>
      <c r="T41">
        <v>3</v>
      </c>
      <c r="U41">
        <v>1</v>
      </c>
      <c r="V41">
        <v>1</v>
      </c>
      <c r="W41">
        <v>1</v>
      </c>
      <c r="X41">
        <v>2</v>
      </c>
      <c r="Y41">
        <v>0</v>
      </c>
      <c r="Z41">
        <v>8</v>
      </c>
      <c r="AA41">
        <v>14</v>
      </c>
      <c r="AB41">
        <v>13</v>
      </c>
      <c r="AC41">
        <v>13</v>
      </c>
      <c r="AD41" t="s">
        <v>46</v>
      </c>
      <c r="AE41" t="s">
        <v>56</v>
      </c>
      <c r="AF41" t="s">
        <v>46</v>
      </c>
      <c r="AG41" t="s">
        <v>61</v>
      </c>
      <c r="AH41">
        <v>-1</v>
      </c>
      <c r="AI41" t="s">
        <v>60</v>
      </c>
    </row>
    <row r="42" spans="1:35" x14ac:dyDescent="0.25">
      <c r="A42" t="s">
        <v>35</v>
      </c>
      <c r="B42" t="s">
        <v>36</v>
      </c>
      <c r="C42">
        <v>16</v>
      </c>
      <c r="D42" t="s">
        <v>37</v>
      </c>
      <c r="E42" t="s">
        <v>53</v>
      </c>
      <c r="F42" t="s">
        <v>49</v>
      </c>
      <c r="G42" t="s">
        <v>40</v>
      </c>
      <c r="H42">
        <v>2</v>
      </c>
      <c r="I42">
        <v>2</v>
      </c>
      <c r="J42" t="s">
        <v>51</v>
      </c>
      <c r="K42" t="s">
        <v>51</v>
      </c>
      <c r="L42">
        <v>2</v>
      </c>
      <c r="M42">
        <v>2</v>
      </c>
      <c r="N42" t="s">
        <v>44</v>
      </c>
      <c r="O42" t="s">
        <v>43</v>
      </c>
      <c r="P42" t="s">
        <v>44</v>
      </c>
      <c r="Q42" t="s">
        <v>43</v>
      </c>
      <c r="R42" t="s">
        <v>43</v>
      </c>
      <c r="S42" t="s">
        <v>43</v>
      </c>
      <c r="T42">
        <v>3</v>
      </c>
      <c r="U42">
        <v>3</v>
      </c>
      <c r="V42">
        <v>1</v>
      </c>
      <c r="W42">
        <v>2</v>
      </c>
      <c r="X42">
        <v>3</v>
      </c>
      <c r="Y42">
        <v>1</v>
      </c>
      <c r="Z42">
        <v>25</v>
      </c>
      <c r="AA42">
        <v>7</v>
      </c>
      <c r="AB42">
        <v>10</v>
      </c>
      <c r="AC42">
        <v>11</v>
      </c>
      <c r="AD42" t="s">
        <v>46</v>
      </c>
      <c r="AE42" t="s">
        <v>45</v>
      </c>
      <c r="AF42" t="s">
        <v>62</v>
      </c>
      <c r="AG42" t="s">
        <v>47</v>
      </c>
      <c r="AH42">
        <v>4</v>
      </c>
      <c r="AI42" t="s">
        <v>48</v>
      </c>
    </row>
    <row r="43" spans="1:35" x14ac:dyDescent="0.25">
      <c r="A43" t="s">
        <v>35</v>
      </c>
      <c r="B43" t="s">
        <v>59</v>
      </c>
      <c r="C43">
        <v>15</v>
      </c>
      <c r="D43" t="s">
        <v>37</v>
      </c>
      <c r="E43" t="s">
        <v>53</v>
      </c>
      <c r="F43" t="s">
        <v>49</v>
      </c>
      <c r="G43" t="s">
        <v>51</v>
      </c>
      <c r="H43">
        <v>4</v>
      </c>
      <c r="I43">
        <v>4</v>
      </c>
      <c r="J43" t="s">
        <v>42</v>
      </c>
      <c r="K43" t="s">
        <v>51</v>
      </c>
      <c r="L43">
        <v>1</v>
      </c>
      <c r="M43">
        <v>1</v>
      </c>
      <c r="N43" t="s">
        <v>44</v>
      </c>
      <c r="O43" t="s">
        <v>43</v>
      </c>
      <c r="P43" t="s">
        <v>44</v>
      </c>
      <c r="Q43" t="s">
        <v>44</v>
      </c>
      <c r="R43" t="s">
        <v>43</v>
      </c>
      <c r="S43" t="s">
        <v>43</v>
      </c>
      <c r="T43">
        <v>4</v>
      </c>
      <c r="U43">
        <v>3</v>
      </c>
      <c r="V43">
        <v>2</v>
      </c>
      <c r="W43">
        <v>4</v>
      </c>
      <c r="X43">
        <v>5</v>
      </c>
      <c r="Y43">
        <v>0</v>
      </c>
      <c r="Z43">
        <v>8</v>
      </c>
      <c r="AA43">
        <v>12</v>
      </c>
      <c r="AB43">
        <v>12</v>
      </c>
      <c r="AC43">
        <v>12</v>
      </c>
      <c r="AD43" t="s">
        <v>46</v>
      </c>
      <c r="AE43" t="s">
        <v>56</v>
      </c>
      <c r="AF43" t="s">
        <v>46</v>
      </c>
      <c r="AG43" t="s">
        <v>61</v>
      </c>
      <c r="AH43">
        <v>0</v>
      </c>
      <c r="AI43" t="s">
        <v>58</v>
      </c>
    </row>
    <row r="44" spans="1:35" x14ac:dyDescent="0.25">
      <c r="A44" t="s">
        <v>35</v>
      </c>
      <c r="B44" t="s">
        <v>59</v>
      </c>
      <c r="C44">
        <v>15</v>
      </c>
      <c r="D44" t="s">
        <v>37</v>
      </c>
      <c r="E44" t="s">
        <v>38</v>
      </c>
      <c r="F44" t="s">
        <v>49</v>
      </c>
      <c r="G44" t="s">
        <v>50</v>
      </c>
      <c r="H44">
        <v>4</v>
      </c>
      <c r="I44">
        <v>4</v>
      </c>
      <c r="J44" t="s">
        <v>54</v>
      </c>
      <c r="K44" t="s">
        <v>42</v>
      </c>
      <c r="L44">
        <v>2</v>
      </c>
      <c r="M44">
        <v>1</v>
      </c>
      <c r="N44" t="s">
        <v>44</v>
      </c>
      <c r="O44" t="s">
        <v>43</v>
      </c>
      <c r="P44" t="s">
        <v>44</v>
      </c>
      <c r="Q44" t="s">
        <v>43</v>
      </c>
      <c r="R44" t="s">
        <v>43</v>
      </c>
      <c r="S44" t="s">
        <v>44</v>
      </c>
      <c r="T44">
        <v>3</v>
      </c>
      <c r="U44">
        <v>3</v>
      </c>
      <c r="V44">
        <v>1</v>
      </c>
      <c r="W44">
        <v>1</v>
      </c>
      <c r="X44">
        <v>5</v>
      </c>
      <c r="Y44">
        <v>0</v>
      </c>
      <c r="Z44">
        <v>2</v>
      </c>
      <c r="AA44">
        <v>19</v>
      </c>
      <c r="AB44">
        <v>18</v>
      </c>
      <c r="AC44">
        <v>18</v>
      </c>
      <c r="AD44" t="s">
        <v>55</v>
      </c>
      <c r="AE44" t="s">
        <v>56</v>
      </c>
      <c r="AF44" t="s">
        <v>52</v>
      </c>
      <c r="AG44" t="s">
        <v>47</v>
      </c>
      <c r="AH44">
        <v>-1</v>
      </c>
      <c r="AI44" t="s">
        <v>60</v>
      </c>
    </row>
    <row r="45" spans="1:35" x14ac:dyDescent="0.25">
      <c r="A45" t="s">
        <v>35</v>
      </c>
      <c r="B45" t="s">
        <v>59</v>
      </c>
      <c r="C45">
        <v>15</v>
      </c>
      <c r="D45" t="s">
        <v>37</v>
      </c>
      <c r="E45" t="s">
        <v>38</v>
      </c>
      <c r="F45" t="s">
        <v>49</v>
      </c>
      <c r="G45" t="s">
        <v>50</v>
      </c>
      <c r="H45">
        <v>2</v>
      </c>
      <c r="I45">
        <v>2</v>
      </c>
      <c r="J45" t="s">
        <v>54</v>
      </c>
      <c r="K45" t="s">
        <v>54</v>
      </c>
      <c r="L45">
        <v>1</v>
      </c>
      <c r="M45">
        <v>1</v>
      </c>
      <c r="N45" t="s">
        <v>43</v>
      </c>
      <c r="O45" t="s">
        <v>43</v>
      </c>
      <c r="P45" t="s">
        <v>44</v>
      </c>
      <c r="Q45" t="s">
        <v>44</v>
      </c>
      <c r="R45" t="s">
        <v>43</v>
      </c>
      <c r="S45" t="s">
        <v>44</v>
      </c>
      <c r="T45">
        <v>4</v>
      </c>
      <c r="U45">
        <v>1</v>
      </c>
      <c r="V45">
        <v>1</v>
      </c>
      <c r="W45">
        <v>1</v>
      </c>
      <c r="X45">
        <v>1</v>
      </c>
      <c r="Y45">
        <v>0</v>
      </c>
      <c r="Z45">
        <v>0</v>
      </c>
      <c r="AA45">
        <v>8</v>
      </c>
      <c r="AB45">
        <v>8</v>
      </c>
      <c r="AC45">
        <v>11</v>
      </c>
      <c r="AD45" t="s">
        <v>46</v>
      </c>
      <c r="AE45" t="s">
        <v>56</v>
      </c>
      <c r="AF45" t="s">
        <v>52</v>
      </c>
      <c r="AG45" t="s">
        <v>61</v>
      </c>
      <c r="AH45">
        <v>3</v>
      </c>
      <c r="AI45" t="s">
        <v>48</v>
      </c>
    </row>
    <row r="46" spans="1:35" x14ac:dyDescent="0.25">
      <c r="A46" t="s">
        <v>35</v>
      </c>
      <c r="B46" t="s">
        <v>36</v>
      </c>
      <c r="C46">
        <v>16</v>
      </c>
      <c r="D46" t="s">
        <v>37</v>
      </c>
      <c r="E46" t="s">
        <v>53</v>
      </c>
      <c r="F46" t="s">
        <v>49</v>
      </c>
      <c r="G46" t="s">
        <v>50</v>
      </c>
      <c r="H46">
        <v>2</v>
      </c>
      <c r="I46">
        <v>2</v>
      </c>
      <c r="J46" t="s">
        <v>51</v>
      </c>
      <c r="K46" t="s">
        <v>41</v>
      </c>
      <c r="L46">
        <v>2</v>
      </c>
      <c r="M46">
        <v>2</v>
      </c>
      <c r="N46" t="s">
        <v>43</v>
      </c>
      <c r="O46" t="s">
        <v>44</v>
      </c>
      <c r="P46" t="s">
        <v>44</v>
      </c>
      <c r="Q46" t="s">
        <v>43</v>
      </c>
      <c r="R46" t="s">
        <v>43</v>
      </c>
      <c r="S46" t="s">
        <v>44</v>
      </c>
      <c r="T46">
        <v>3</v>
      </c>
      <c r="U46">
        <v>3</v>
      </c>
      <c r="V46">
        <v>2</v>
      </c>
      <c r="W46">
        <v>2</v>
      </c>
      <c r="X46">
        <v>5</v>
      </c>
      <c r="Y46">
        <v>1</v>
      </c>
      <c r="Z46">
        <v>14</v>
      </c>
      <c r="AA46">
        <v>10</v>
      </c>
      <c r="AB46">
        <v>10</v>
      </c>
      <c r="AC46">
        <v>9</v>
      </c>
      <c r="AD46" t="s">
        <v>45</v>
      </c>
      <c r="AE46" t="s">
        <v>45</v>
      </c>
      <c r="AF46" t="s">
        <v>46</v>
      </c>
      <c r="AG46" t="s">
        <v>47</v>
      </c>
      <c r="AH46">
        <v>-1</v>
      </c>
      <c r="AI46" t="s">
        <v>60</v>
      </c>
    </row>
    <row r="47" spans="1:35" x14ac:dyDescent="0.25">
      <c r="A47" t="s">
        <v>35</v>
      </c>
      <c r="B47" t="s">
        <v>36</v>
      </c>
      <c r="C47">
        <v>15</v>
      </c>
      <c r="D47" t="s">
        <v>37</v>
      </c>
      <c r="E47" t="s">
        <v>53</v>
      </c>
      <c r="F47" t="s">
        <v>39</v>
      </c>
      <c r="G47" t="s">
        <v>40</v>
      </c>
      <c r="H47">
        <v>4</v>
      </c>
      <c r="I47">
        <v>3</v>
      </c>
      <c r="J47" t="s">
        <v>51</v>
      </c>
      <c r="K47" t="s">
        <v>51</v>
      </c>
      <c r="L47">
        <v>2</v>
      </c>
      <c r="M47">
        <v>1</v>
      </c>
      <c r="N47" t="s">
        <v>43</v>
      </c>
      <c r="O47" t="s">
        <v>43</v>
      </c>
      <c r="P47" t="s">
        <v>43</v>
      </c>
      <c r="Q47" t="s">
        <v>43</v>
      </c>
      <c r="R47" t="s">
        <v>43</v>
      </c>
      <c r="S47" t="s">
        <v>43</v>
      </c>
      <c r="T47">
        <v>2</v>
      </c>
      <c r="U47">
        <v>2</v>
      </c>
      <c r="V47">
        <v>1</v>
      </c>
      <c r="W47">
        <v>1</v>
      </c>
      <c r="X47">
        <v>5</v>
      </c>
      <c r="Y47">
        <v>0</v>
      </c>
      <c r="Z47">
        <v>8</v>
      </c>
      <c r="AA47">
        <v>8</v>
      </c>
      <c r="AB47">
        <v>8</v>
      </c>
      <c r="AC47">
        <v>6</v>
      </c>
      <c r="AD47" t="s">
        <v>45</v>
      </c>
      <c r="AE47" t="s">
        <v>45</v>
      </c>
      <c r="AF47" t="s">
        <v>46</v>
      </c>
      <c r="AG47" t="s">
        <v>47</v>
      </c>
      <c r="AH47">
        <v>-2</v>
      </c>
      <c r="AI47" t="s">
        <v>60</v>
      </c>
    </row>
    <row r="48" spans="1:35" x14ac:dyDescent="0.25">
      <c r="A48" t="s">
        <v>35</v>
      </c>
      <c r="B48" t="s">
        <v>36</v>
      </c>
      <c r="C48">
        <v>16</v>
      </c>
      <c r="D48" t="s">
        <v>37</v>
      </c>
      <c r="E48" t="s">
        <v>53</v>
      </c>
      <c r="F48" t="s">
        <v>39</v>
      </c>
      <c r="G48" t="s">
        <v>40</v>
      </c>
      <c r="H48">
        <v>3</v>
      </c>
      <c r="I48">
        <v>3</v>
      </c>
      <c r="J48" t="s">
        <v>51</v>
      </c>
      <c r="K48" t="s">
        <v>54</v>
      </c>
      <c r="L48">
        <v>2</v>
      </c>
      <c r="M48">
        <v>1</v>
      </c>
      <c r="N48" t="s">
        <v>44</v>
      </c>
      <c r="O48" t="s">
        <v>43</v>
      </c>
      <c r="P48" t="s">
        <v>44</v>
      </c>
      <c r="Q48" t="s">
        <v>44</v>
      </c>
      <c r="R48" t="s">
        <v>43</v>
      </c>
      <c r="S48" t="s">
        <v>44</v>
      </c>
      <c r="T48">
        <v>3</v>
      </c>
      <c r="U48">
        <v>5</v>
      </c>
      <c r="V48">
        <v>1</v>
      </c>
      <c r="W48">
        <v>4</v>
      </c>
      <c r="X48">
        <v>3</v>
      </c>
      <c r="Y48">
        <v>0</v>
      </c>
      <c r="Z48">
        <v>12</v>
      </c>
      <c r="AA48">
        <v>11</v>
      </c>
      <c r="AB48">
        <v>12</v>
      </c>
      <c r="AC48">
        <v>11</v>
      </c>
      <c r="AD48" t="s">
        <v>46</v>
      </c>
      <c r="AE48" t="s">
        <v>45</v>
      </c>
      <c r="AF48" t="s">
        <v>46</v>
      </c>
      <c r="AG48" t="s">
        <v>47</v>
      </c>
      <c r="AH48">
        <v>0</v>
      </c>
      <c r="AI48" t="s">
        <v>58</v>
      </c>
    </row>
    <row r="49" spans="1:35" x14ac:dyDescent="0.25">
      <c r="A49" t="s">
        <v>35</v>
      </c>
      <c r="B49" t="s">
        <v>59</v>
      </c>
      <c r="C49">
        <v>16</v>
      </c>
      <c r="D49" t="s">
        <v>37</v>
      </c>
      <c r="E49" t="s">
        <v>38</v>
      </c>
      <c r="F49" t="s">
        <v>49</v>
      </c>
      <c r="G49" t="s">
        <v>40</v>
      </c>
      <c r="H49">
        <v>4</v>
      </c>
      <c r="I49">
        <v>3</v>
      </c>
      <c r="J49" t="s">
        <v>23</v>
      </c>
      <c r="K49" t="s">
        <v>54</v>
      </c>
      <c r="L49">
        <v>4</v>
      </c>
      <c r="M49">
        <v>1</v>
      </c>
      <c r="N49" t="s">
        <v>44</v>
      </c>
      <c r="O49" t="s">
        <v>44</v>
      </c>
      <c r="P49" t="s">
        <v>44</v>
      </c>
      <c r="Q49" t="s">
        <v>43</v>
      </c>
      <c r="R49" t="s">
        <v>43</v>
      </c>
      <c r="S49" t="s">
        <v>44</v>
      </c>
      <c r="T49">
        <v>2</v>
      </c>
      <c r="U49">
        <v>2</v>
      </c>
      <c r="V49">
        <v>1</v>
      </c>
      <c r="W49">
        <v>1</v>
      </c>
      <c r="X49">
        <v>2</v>
      </c>
      <c r="Y49">
        <v>0</v>
      </c>
      <c r="Z49">
        <v>4</v>
      </c>
      <c r="AA49">
        <v>19</v>
      </c>
      <c r="AB49">
        <v>19</v>
      </c>
      <c r="AC49">
        <v>20</v>
      </c>
      <c r="AD49" t="s">
        <v>55</v>
      </c>
      <c r="AE49" t="s">
        <v>56</v>
      </c>
      <c r="AF49" t="s">
        <v>52</v>
      </c>
      <c r="AG49" t="s">
        <v>64</v>
      </c>
      <c r="AH49">
        <v>1</v>
      </c>
      <c r="AI49" t="s">
        <v>48</v>
      </c>
    </row>
    <row r="50" spans="1:35" x14ac:dyDescent="0.25">
      <c r="A50" t="s">
        <v>35</v>
      </c>
      <c r="B50" t="s">
        <v>59</v>
      </c>
      <c r="C50">
        <v>15</v>
      </c>
      <c r="D50" t="s">
        <v>37</v>
      </c>
      <c r="E50" t="s">
        <v>38</v>
      </c>
      <c r="F50" t="s">
        <v>49</v>
      </c>
      <c r="G50" t="s">
        <v>40</v>
      </c>
      <c r="H50">
        <v>4</v>
      </c>
      <c r="I50">
        <v>2</v>
      </c>
      <c r="J50" t="s">
        <v>42</v>
      </c>
      <c r="K50" t="s">
        <v>51</v>
      </c>
      <c r="L50">
        <v>2</v>
      </c>
      <c r="M50">
        <v>1</v>
      </c>
      <c r="N50" t="s">
        <v>44</v>
      </c>
      <c r="O50" t="s">
        <v>43</v>
      </c>
      <c r="P50" t="s">
        <v>43</v>
      </c>
      <c r="Q50" t="s">
        <v>44</v>
      </c>
      <c r="R50" t="s">
        <v>44</v>
      </c>
      <c r="S50" t="s">
        <v>44</v>
      </c>
      <c r="T50">
        <v>3</v>
      </c>
      <c r="U50">
        <v>3</v>
      </c>
      <c r="V50">
        <v>2</v>
      </c>
      <c r="W50">
        <v>2</v>
      </c>
      <c r="X50">
        <v>5</v>
      </c>
      <c r="Y50">
        <v>0</v>
      </c>
      <c r="Z50">
        <v>2</v>
      </c>
      <c r="AA50">
        <v>15</v>
      </c>
      <c r="AB50">
        <v>15</v>
      </c>
      <c r="AC50">
        <v>14</v>
      </c>
      <c r="AD50" t="s">
        <v>55</v>
      </c>
      <c r="AE50" t="s">
        <v>56</v>
      </c>
      <c r="AF50" t="s">
        <v>52</v>
      </c>
      <c r="AG50" t="s">
        <v>47</v>
      </c>
      <c r="AH50">
        <v>-1</v>
      </c>
      <c r="AI50" t="s">
        <v>60</v>
      </c>
    </row>
    <row r="51" spans="1:35" x14ac:dyDescent="0.25">
      <c r="A51" t="s">
        <v>35</v>
      </c>
      <c r="B51" t="s">
        <v>36</v>
      </c>
      <c r="C51">
        <v>15</v>
      </c>
      <c r="D51" t="s">
        <v>37</v>
      </c>
      <c r="E51" t="s">
        <v>38</v>
      </c>
      <c r="F51" t="s">
        <v>49</v>
      </c>
      <c r="G51" t="s">
        <v>50</v>
      </c>
      <c r="H51">
        <v>4</v>
      </c>
      <c r="I51">
        <v>4</v>
      </c>
      <c r="J51" t="s">
        <v>54</v>
      </c>
      <c r="K51" t="s">
        <v>42</v>
      </c>
      <c r="L51">
        <v>2</v>
      </c>
      <c r="M51">
        <v>1</v>
      </c>
      <c r="N51" t="s">
        <v>43</v>
      </c>
      <c r="O51" t="s">
        <v>43</v>
      </c>
      <c r="P51" t="s">
        <v>44</v>
      </c>
      <c r="Q51" t="s">
        <v>43</v>
      </c>
      <c r="R51" t="s">
        <v>43</v>
      </c>
      <c r="S51" t="s">
        <v>44</v>
      </c>
      <c r="T51">
        <v>4</v>
      </c>
      <c r="U51">
        <v>4</v>
      </c>
      <c r="V51">
        <v>1</v>
      </c>
      <c r="W51">
        <v>1</v>
      </c>
      <c r="X51">
        <v>3</v>
      </c>
      <c r="Y51">
        <v>1</v>
      </c>
      <c r="Z51">
        <v>2</v>
      </c>
      <c r="AA51">
        <v>7</v>
      </c>
      <c r="AB51">
        <v>7</v>
      </c>
      <c r="AC51">
        <v>7</v>
      </c>
      <c r="AD51" t="s">
        <v>45</v>
      </c>
      <c r="AE51" t="s">
        <v>45</v>
      </c>
      <c r="AF51" t="s">
        <v>52</v>
      </c>
      <c r="AG51" t="s">
        <v>47</v>
      </c>
      <c r="AH51">
        <v>0</v>
      </c>
      <c r="AI51" t="s">
        <v>58</v>
      </c>
    </row>
    <row r="52" spans="1:35" x14ac:dyDescent="0.25">
      <c r="A52" t="s">
        <v>35</v>
      </c>
      <c r="B52" t="s">
        <v>36</v>
      </c>
      <c r="C52">
        <v>16</v>
      </c>
      <c r="D52" t="s">
        <v>37</v>
      </c>
      <c r="E52" t="s">
        <v>53</v>
      </c>
      <c r="F52" t="s">
        <v>49</v>
      </c>
      <c r="G52" t="s">
        <v>40</v>
      </c>
      <c r="H52">
        <v>2</v>
      </c>
      <c r="I52">
        <v>2</v>
      </c>
      <c r="J52" t="s">
        <v>54</v>
      </c>
      <c r="K52" t="s">
        <v>54</v>
      </c>
      <c r="L52">
        <v>2</v>
      </c>
      <c r="M52">
        <v>3</v>
      </c>
      <c r="N52" t="s">
        <v>44</v>
      </c>
      <c r="O52" t="s">
        <v>43</v>
      </c>
      <c r="P52" t="s">
        <v>43</v>
      </c>
      <c r="Q52" t="s">
        <v>44</v>
      </c>
      <c r="R52" t="s">
        <v>43</v>
      </c>
      <c r="S52" t="s">
        <v>44</v>
      </c>
      <c r="T52">
        <v>3</v>
      </c>
      <c r="U52">
        <v>3</v>
      </c>
      <c r="V52">
        <v>2</v>
      </c>
      <c r="W52">
        <v>3</v>
      </c>
      <c r="X52">
        <v>4</v>
      </c>
      <c r="Y52">
        <v>0</v>
      </c>
      <c r="Z52">
        <v>2</v>
      </c>
      <c r="AA52">
        <v>12</v>
      </c>
      <c r="AB52">
        <v>13</v>
      </c>
      <c r="AC52">
        <v>13</v>
      </c>
      <c r="AD52" t="s">
        <v>46</v>
      </c>
      <c r="AE52" t="s">
        <v>56</v>
      </c>
      <c r="AF52" t="s">
        <v>52</v>
      </c>
      <c r="AG52" t="s">
        <v>47</v>
      </c>
      <c r="AH52">
        <v>1</v>
      </c>
      <c r="AI52" t="s">
        <v>48</v>
      </c>
    </row>
    <row r="53" spans="1:35" x14ac:dyDescent="0.25">
      <c r="A53" t="s">
        <v>35</v>
      </c>
      <c r="B53" t="s">
        <v>36</v>
      </c>
      <c r="C53">
        <v>15</v>
      </c>
      <c r="D53" t="s">
        <v>37</v>
      </c>
      <c r="E53" t="s">
        <v>53</v>
      </c>
      <c r="F53" t="s">
        <v>49</v>
      </c>
      <c r="G53" t="s">
        <v>40</v>
      </c>
      <c r="H53">
        <v>4</v>
      </c>
      <c r="I53">
        <v>2</v>
      </c>
      <c r="J53" t="s">
        <v>23</v>
      </c>
      <c r="K53" t="s">
        <v>51</v>
      </c>
      <c r="L53">
        <v>2</v>
      </c>
      <c r="M53">
        <v>1</v>
      </c>
      <c r="N53" t="s">
        <v>44</v>
      </c>
      <c r="O53" t="s">
        <v>43</v>
      </c>
      <c r="P53" t="s">
        <v>43</v>
      </c>
      <c r="Q53" t="s">
        <v>44</v>
      </c>
      <c r="R53" t="s">
        <v>43</v>
      </c>
      <c r="S53" t="s">
        <v>44</v>
      </c>
      <c r="T53">
        <v>3</v>
      </c>
      <c r="U53">
        <v>3</v>
      </c>
      <c r="V53">
        <v>1</v>
      </c>
      <c r="W53">
        <v>1</v>
      </c>
      <c r="X53">
        <v>5</v>
      </c>
      <c r="Y53">
        <v>0</v>
      </c>
      <c r="Z53">
        <v>2</v>
      </c>
      <c r="AA53">
        <v>11</v>
      </c>
      <c r="AB53">
        <v>13</v>
      </c>
      <c r="AC53">
        <v>13</v>
      </c>
      <c r="AD53" t="s">
        <v>46</v>
      </c>
      <c r="AE53" t="s">
        <v>56</v>
      </c>
      <c r="AF53" t="s">
        <v>52</v>
      </c>
      <c r="AG53" t="s">
        <v>47</v>
      </c>
      <c r="AH53">
        <v>2</v>
      </c>
      <c r="AI53" t="s">
        <v>48</v>
      </c>
    </row>
    <row r="54" spans="1:35" x14ac:dyDescent="0.25">
      <c r="A54" t="s">
        <v>35</v>
      </c>
      <c r="B54" t="s">
        <v>59</v>
      </c>
      <c r="C54">
        <v>15</v>
      </c>
      <c r="D54" t="s">
        <v>37</v>
      </c>
      <c r="E54" t="s">
        <v>53</v>
      </c>
      <c r="F54" t="s">
        <v>39</v>
      </c>
      <c r="G54" t="s">
        <v>50</v>
      </c>
      <c r="H54">
        <v>4</v>
      </c>
      <c r="I54">
        <v>2</v>
      </c>
      <c r="J54" t="s">
        <v>23</v>
      </c>
      <c r="K54" t="s">
        <v>23</v>
      </c>
      <c r="L54">
        <v>1</v>
      </c>
      <c r="M54">
        <v>2</v>
      </c>
      <c r="N54" t="s">
        <v>44</v>
      </c>
      <c r="O54" t="s">
        <v>44</v>
      </c>
      <c r="P54" t="s">
        <v>44</v>
      </c>
      <c r="Q54" t="s">
        <v>44</v>
      </c>
      <c r="R54" t="s">
        <v>44</v>
      </c>
      <c r="S54" t="s">
        <v>44</v>
      </c>
      <c r="T54">
        <v>5</v>
      </c>
      <c r="U54">
        <v>5</v>
      </c>
      <c r="V54">
        <v>3</v>
      </c>
      <c r="W54">
        <v>4</v>
      </c>
      <c r="X54">
        <v>5</v>
      </c>
      <c r="Y54">
        <v>1</v>
      </c>
      <c r="Z54">
        <v>6</v>
      </c>
      <c r="AA54">
        <v>11</v>
      </c>
      <c r="AB54">
        <v>11</v>
      </c>
      <c r="AC54">
        <v>10</v>
      </c>
      <c r="AD54" t="s">
        <v>46</v>
      </c>
      <c r="AE54" t="s">
        <v>45</v>
      </c>
      <c r="AF54" t="s">
        <v>46</v>
      </c>
      <c r="AG54" t="s">
        <v>61</v>
      </c>
      <c r="AH54">
        <v>-1</v>
      </c>
      <c r="AI54" t="s">
        <v>60</v>
      </c>
    </row>
    <row r="55" spans="1:35" x14ac:dyDescent="0.25">
      <c r="A55" t="s">
        <v>35</v>
      </c>
      <c r="B55" t="s">
        <v>36</v>
      </c>
      <c r="C55">
        <v>15</v>
      </c>
      <c r="D55" t="s">
        <v>37</v>
      </c>
      <c r="E55" t="s">
        <v>38</v>
      </c>
      <c r="F55" t="s">
        <v>49</v>
      </c>
      <c r="G55" t="s">
        <v>40</v>
      </c>
      <c r="H55">
        <v>4</v>
      </c>
      <c r="I55">
        <v>4</v>
      </c>
      <c r="J55" t="s">
        <v>54</v>
      </c>
      <c r="K55" t="s">
        <v>54</v>
      </c>
      <c r="L55">
        <v>1</v>
      </c>
      <c r="M55">
        <v>1</v>
      </c>
      <c r="N55" t="s">
        <v>43</v>
      </c>
      <c r="O55" t="s">
        <v>43</v>
      </c>
      <c r="P55" t="s">
        <v>43</v>
      </c>
      <c r="Q55" t="s">
        <v>44</v>
      </c>
      <c r="R55" t="s">
        <v>43</v>
      </c>
      <c r="S55" t="s">
        <v>44</v>
      </c>
      <c r="T55">
        <v>3</v>
      </c>
      <c r="U55">
        <v>4</v>
      </c>
      <c r="V55">
        <v>2</v>
      </c>
      <c r="W55">
        <v>3</v>
      </c>
      <c r="X55">
        <v>5</v>
      </c>
      <c r="Y55">
        <v>0</v>
      </c>
      <c r="Z55">
        <v>0</v>
      </c>
      <c r="AA55">
        <v>8</v>
      </c>
      <c r="AB55">
        <v>10</v>
      </c>
      <c r="AC55">
        <v>11</v>
      </c>
      <c r="AD55" t="s">
        <v>46</v>
      </c>
      <c r="AE55" t="s">
        <v>56</v>
      </c>
      <c r="AF55" t="s">
        <v>52</v>
      </c>
      <c r="AG55" t="s">
        <v>61</v>
      </c>
      <c r="AH55">
        <v>3</v>
      </c>
      <c r="AI55" t="s">
        <v>48</v>
      </c>
    </row>
    <row r="56" spans="1:35" x14ac:dyDescent="0.25">
      <c r="A56" t="s">
        <v>35</v>
      </c>
      <c r="B56" t="s">
        <v>36</v>
      </c>
      <c r="C56">
        <v>15</v>
      </c>
      <c r="D56" t="s">
        <v>37</v>
      </c>
      <c r="E56" t="s">
        <v>53</v>
      </c>
      <c r="F56" t="s">
        <v>39</v>
      </c>
      <c r="G56" t="s">
        <v>40</v>
      </c>
      <c r="H56">
        <v>3</v>
      </c>
      <c r="I56">
        <v>3</v>
      </c>
      <c r="J56" t="s">
        <v>51</v>
      </c>
      <c r="K56" t="s">
        <v>51</v>
      </c>
      <c r="L56">
        <v>1</v>
      </c>
      <c r="M56">
        <v>1</v>
      </c>
      <c r="N56" t="s">
        <v>44</v>
      </c>
      <c r="O56" t="s">
        <v>44</v>
      </c>
      <c r="P56" t="s">
        <v>43</v>
      </c>
      <c r="Q56" t="s">
        <v>44</v>
      </c>
      <c r="R56" t="s">
        <v>43</v>
      </c>
      <c r="S56" t="s">
        <v>44</v>
      </c>
      <c r="T56">
        <v>3</v>
      </c>
      <c r="U56">
        <v>4</v>
      </c>
      <c r="V56">
        <v>4</v>
      </c>
      <c r="W56">
        <v>4</v>
      </c>
      <c r="X56">
        <v>1</v>
      </c>
      <c r="Y56">
        <v>0</v>
      </c>
      <c r="Z56">
        <v>6</v>
      </c>
      <c r="AA56">
        <v>10</v>
      </c>
      <c r="AB56">
        <v>13</v>
      </c>
      <c r="AC56">
        <v>13</v>
      </c>
      <c r="AD56" t="s">
        <v>46</v>
      </c>
      <c r="AE56" t="s">
        <v>56</v>
      </c>
      <c r="AF56" t="s">
        <v>46</v>
      </c>
      <c r="AG56" t="s">
        <v>61</v>
      </c>
      <c r="AH56">
        <v>3</v>
      </c>
      <c r="AI56" t="s">
        <v>48</v>
      </c>
    </row>
    <row r="57" spans="1:35" x14ac:dyDescent="0.25">
      <c r="A57" t="s">
        <v>35</v>
      </c>
      <c r="B57" t="s">
        <v>36</v>
      </c>
      <c r="C57">
        <v>16</v>
      </c>
      <c r="D57" t="s">
        <v>37</v>
      </c>
      <c r="E57" t="s">
        <v>38</v>
      </c>
      <c r="F57" t="s">
        <v>39</v>
      </c>
      <c r="G57" t="s">
        <v>40</v>
      </c>
      <c r="H57">
        <v>2</v>
      </c>
      <c r="I57">
        <v>1</v>
      </c>
      <c r="J57" t="s">
        <v>51</v>
      </c>
      <c r="K57" t="s">
        <v>51</v>
      </c>
      <c r="L57">
        <v>2</v>
      </c>
      <c r="M57">
        <v>1</v>
      </c>
      <c r="N57" t="s">
        <v>44</v>
      </c>
      <c r="O57" t="s">
        <v>44</v>
      </c>
      <c r="P57" t="s">
        <v>43</v>
      </c>
      <c r="Q57" t="s">
        <v>43</v>
      </c>
      <c r="R57" t="s">
        <v>43</v>
      </c>
      <c r="S57" t="s">
        <v>43</v>
      </c>
      <c r="T57">
        <v>3</v>
      </c>
      <c r="U57">
        <v>4</v>
      </c>
      <c r="V57">
        <v>1</v>
      </c>
      <c r="W57">
        <v>1</v>
      </c>
      <c r="X57">
        <v>2</v>
      </c>
      <c r="Y57">
        <v>0</v>
      </c>
      <c r="Z57">
        <v>8</v>
      </c>
      <c r="AA57">
        <v>8</v>
      </c>
      <c r="AB57">
        <v>9</v>
      </c>
      <c r="AC57">
        <v>10</v>
      </c>
      <c r="AD57" t="s">
        <v>46</v>
      </c>
      <c r="AE57" t="s">
        <v>56</v>
      </c>
      <c r="AF57" t="s">
        <v>46</v>
      </c>
      <c r="AG57" t="s">
        <v>47</v>
      </c>
      <c r="AH57">
        <v>2</v>
      </c>
      <c r="AI57" t="s">
        <v>48</v>
      </c>
    </row>
    <row r="58" spans="1:35" x14ac:dyDescent="0.25">
      <c r="A58" t="s">
        <v>35</v>
      </c>
      <c r="B58" t="s">
        <v>36</v>
      </c>
      <c r="C58">
        <v>15</v>
      </c>
      <c r="D58" t="s">
        <v>37</v>
      </c>
      <c r="E58" t="s">
        <v>38</v>
      </c>
      <c r="F58" t="s">
        <v>39</v>
      </c>
      <c r="G58" t="s">
        <v>40</v>
      </c>
      <c r="H58">
        <v>4</v>
      </c>
      <c r="I58">
        <v>3</v>
      </c>
      <c r="J58" t="s">
        <v>54</v>
      </c>
      <c r="K58" t="s">
        <v>54</v>
      </c>
      <c r="L58">
        <v>2</v>
      </c>
      <c r="M58">
        <v>1</v>
      </c>
      <c r="N58" t="s">
        <v>44</v>
      </c>
      <c r="O58" t="s">
        <v>43</v>
      </c>
      <c r="P58" t="s">
        <v>43</v>
      </c>
      <c r="Q58" t="s">
        <v>43</v>
      </c>
      <c r="R58" t="s">
        <v>43</v>
      </c>
      <c r="S58" t="s">
        <v>44</v>
      </c>
      <c r="T58">
        <v>3</v>
      </c>
      <c r="U58">
        <v>2</v>
      </c>
      <c r="V58">
        <v>1</v>
      </c>
      <c r="W58">
        <v>1</v>
      </c>
      <c r="X58">
        <v>1</v>
      </c>
      <c r="Y58">
        <v>0</v>
      </c>
      <c r="Z58">
        <v>0</v>
      </c>
      <c r="AA58">
        <v>14</v>
      </c>
      <c r="AB58">
        <v>15</v>
      </c>
      <c r="AC58">
        <v>15</v>
      </c>
      <c r="AD58" t="s">
        <v>55</v>
      </c>
      <c r="AE58" t="s">
        <v>56</v>
      </c>
      <c r="AF58" t="s">
        <v>52</v>
      </c>
      <c r="AG58" t="s">
        <v>47</v>
      </c>
      <c r="AH58">
        <v>1</v>
      </c>
      <c r="AI58" t="s">
        <v>48</v>
      </c>
    </row>
    <row r="59" spans="1:35" x14ac:dyDescent="0.25">
      <c r="A59" t="s">
        <v>35</v>
      </c>
      <c r="B59" t="s">
        <v>59</v>
      </c>
      <c r="C59">
        <v>15</v>
      </c>
      <c r="D59" t="s">
        <v>37</v>
      </c>
      <c r="E59" t="s">
        <v>38</v>
      </c>
      <c r="F59" t="s">
        <v>49</v>
      </c>
      <c r="G59" t="s">
        <v>40</v>
      </c>
      <c r="H59">
        <v>4</v>
      </c>
      <c r="I59">
        <v>4</v>
      </c>
      <c r="J59" t="s">
        <v>42</v>
      </c>
      <c r="K59" t="s">
        <v>23</v>
      </c>
      <c r="L59">
        <v>2</v>
      </c>
      <c r="M59">
        <v>1</v>
      </c>
      <c r="N59" t="s">
        <v>44</v>
      </c>
      <c r="O59" t="s">
        <v>43</v>
      </c>
      <c r="P59" t="s">
        <v>44</v>
      </c>
      <c r="Q59" t="s">
        <v>43</v>
      </c>
      <c r="R59" t="s">
        <v>44</v>
      </c>
      <c r="S59" t="s">
        <v>44</v>
      </c>
      <c r="T59">
        <v>2</v>
      </c>
      <c r="U59">
        <v>2</v>
      </c>
      <c r="V59">
        <v>1</v>
      </c>
      <c r="W59">
        <v>1</v>
      </c>
      <c r="X59">
        <v>5</v>
      </c>
      <c r="Y59">
        <v>0</v>
      </c>
      <c r="Z59">
        <v>4</v>
      </c>
      <c r="AA59">
        <v>14</v>
      </c>
      <c r="AB59">
        <v>15</v>
      </c>
      <c r="AC59">
        <v>15</v>
      </c>
      <c r="AD59" t="s">
        <v>55</v>
      </c>
      <c r="AE59" t="s">
        <v>56</v>
      </c>
      <c r="AF59" t="s">
        <v>52</v>
      </c>
      <c r="AG59" t="s">
        <v>47</v>
      </c>
      <c r="AH59">
        <v>1</v>
      </c>
      <c r="AI59" t="s">
        <v>48</v>
      </c>
    </row>
    <row r="60" spans="1:35" x14ac:dyDescent="0.25">
      <c r="A60" t="s">
        <v>35</v>
      </c>
      <c r="B60" t="s">
        <v>59</v>
      </c>
      <c r="C60">
        <v>15</v>
      </c>
      <c r="D60" t="s">
        <v>37</v>
      </c>
      <c r="E60" t="s">
        <v>53</v>
      </c>
      <c r="F60" t="s">
        <v>49</v>
      </c>
      <c r="G60" t="s">
        <v>50</v>
      </c>
      <c r="H60">
        <v>1</v>
      </c>
      <c r="I60">
        <v>2</v>
      </c>
      <c r="J60" t="s">
        <v>51</v>
      </c>
      <c r="K60" t="s">
        <v>41</v>
      </c>
      <c r="L60">
        <v>2</v>
      </c>
      <c r="M60">
        <v>1</v>
      </c>
      <c r="N60" t="s">
        <v>43</v>
      </c>
      <c r="O60" t="s">
        <v>43</v>
      </c>
      <c r="P60" t="s">
        <v>44</v>
      </c>
      <c r="Q60" t="s">
        <v>43</v>
      </c>
      <c r="R60" t="s">
        <v>43</v>
      </c>
      <c r="S60" t="s">
        <v>44</v>
      </c>
      <c r="T60">
        <v>3</v>
      </c>
      <c r="U60">
        <v>2</v>
      </c>
      <c r="V60">
        <v>1</v>
      </c>
      <c r="W60">
        <v>1</v>
      </c>
      <c r="X60">
        <v>5</v>
      </c>
      <c r="Y60">
        <v>0</v>
      </c>
      <c r="Z60">
        <v>2</v>
      </c>
      <c r="AA60">
        <v>9</v>
      </c>
      <c r="AB60">
        <v>10</v>
      </c>
      <c r="AC60">
        <v>9</v>
      </c>
      <c r="AD60" t="s">
        <v>45</v>
      </c>
      <c r="AE60" t="s">
        <v>45</v>
      </c>
      <c r="AF60" t="s">
        <v>52</v>
      </c>
      <c r="AG60" t="s">
        <v>47</v>
      </c>
      <c r="AH60">
        <v>0</v>
      </c>
      <c r="AI60" t="s">
        <v>58</v>
      </c>
    </row>
    <row r="61" spans="1:35" x14ac:dyDescent="0.25">
      <c r="A61" t="s">
        <v>35</v>
      </c>
      <c r="B61" t="s">
        <v>36</v>
      </c>
      <c r="C61">
        <v>16</v>
      </c>
      <c r="D61" t="s">
        <v>37</v>
      </c>
      <c r="E61" t="s">
        <v>38</v>
      </c>
      <c r="F61" t="s">
        <v>49</v>
      </c>
      <c r="G61" t="s">
        <v>40</v>
      </c>
      <c r="H61">
        <v>4</v>
      </c>
      <c r="I61">
        <v>2</v>
      </c>
      <c r="J61" t="s">
        <v>54</v>
      </c>
      <c r="K61" t="s">
        <v>51</v>
      </c>
      <c r="L61">
        <v>2</v>
      </c>
      <c r="M61">
        <v>1</v>
      </c>
      <c r="N61" t="s">
        <v>44</v>
      </c>
      <c r="O61" t="s">
        <v>43</v>
      </c>
      <c r="P61" t="s">
        <v>44</v>
      </c>
      <c r="Q61" t="s">
        <v>44</v>
      </c>
      <c r="R61" t="s">
        <v>43</v>
      </c>
      <c r="S61" t="s">
        <v>44</v>
      </c>
      <c r="T61">
        <v>2</v>
      </c>
      <c r="U61">
        <v>3</v>
      </c>
      <c r="V61">
        <v>1</v>
      </c>
      <c r="W61">
        <v>1</v>
      </c>
      <c r="X61">
        <v>5</v>
      </c>
      <c r="Y61">
        <v>0</v>
      </c>
      <c r="Z61">
        <v>2</v>
      </c>
      <c r="AA61">
        <v>15</v>
      </c>
      <c r="AB61">
        <v>16</v>
      </c>
      <c r="AC61">
        <v>16</v>
      </c>
      <c r="AD61" t="s">
        <v>55</v>
      </c>
      <c r="AE61" t="s">
        <v>56</v>
      </c>
      <c r="AF61" t="s">
        <v>52</v>
      </c>
      <c r="AG61" t="s">
        <v>47</v>
      </c>
      <c r="AH61">
        <v>1</v>
      </c>
      <c r="AI61" t="s">
        <v>48</v>
      </c>
    </row>
    <row r="62" spans="1:35" x14ac:dyDescent="0.25">
      <c r="A62" t="s">
        <v>35</v>
      </c>
      <c r="B62" t="s">
        <v>36</v>
      </c>
      <c r="C62">
        <v>16</v>
      </c>
      <c r="D62" t="s">
        <v>63</v>
      </c>
      <c r="E62" t="s">
        <v>38</v>
      </c>
      <c r="F62" t="s">
        <v>49</v>
      </c>
      <c r="G62" t="s">
        <v>40</v>
      </c>
      <c r="H62">
        <v>4</v>
      </c>
      <c r="I62">
        <v>4</v>
      </c>
      <c r="J62" t="s">
        <v>23</v>
      </c>
      <c r="K62" t="s">
        <v>42</v>
      </c>
      <c r="L62">
        <v>2</v>
      </c>
      <c r="M62">
        <v>1</v>
      </c>
      <c r="N62" t="s">
        <v>44</v>
      </c>
      <c r="O62" t="s">
        <v>43</v>
      </c>
      <c r="P62" t="s">
        <v>44</v>
      </c>
      <c r="Q62" t="s">
        <v>43</v>
      </c>
      <c r="R62" t="s">
        <v>44</v>
      </c>
      <c r="S62" t="s">
        <v>44</v>
      </c>
      <c r="T62">
        <v>4</v>
      </c>
      <c r="U62">
        <v>4</v>
      </c>
      <c r="V62">
        <v>2</v>
      </c>
      <c r="W62">
        <v>3</v>
      </c>
      <c r="X62">
        <v>4</v>
      </c>
      <c r="Y62">
        <v>0</v>
      </c>
      <c r="Z62">
        <v>6</v>
      </c>
      <c r="AA62">
        <v>10</v>
      </c>
      <c r="AB62">
        <v>11</v>
      </c>
      <c r="AC62">
        <v>11</v>
      </c>
      <c r="AD62" t="s">
        <v>46</v>
      </c>
      <c r="AE62" t="s">
        <v>56</v>
      </c>
      <c r="AF62" t="s">
        <v>46</v>
      </c>
      <c r="AG62" t="s">
        <v>47</v>
      </c>
      <c r="AH62">
        <v>1</v>
      </c>
      <c r="AI62" t="s">
        <v>48</v>
      </c>
    </row>
    <row r="63" spans="1:35" x14ac:dyDescent="0.25">
      <c r="A63" t="s">
        <v>35</v>
      </c>
      <c r="B63" t="s">
        <v>36</v>
      </c>
      <c r="C63">
        <v>16</v>
      </c>
      <c r="D63" t="s">
        <v>37</v>
      </c>
      <c r="E63" t="s">
        <v>38</v>
      </c>
      <c r="F63" t="s">
        <v>49</v>
      </c>
      <c r="G63" t="s">
        <v>50</v>
      </c>
      <c r="H63">
        <v>1</v>
      </c>
      <c r="I63">
        <v>1</v>
      </c>
      <c r="J63" t="s">
        <v>54</v>
      </c>
      <c r="K63" t="s">
        <v>54</v>
      </c>
      <c r="L63">
        <v>1</v>
      </c>
      <c r="M63">
        <v>4</v>
      </c>
      <c r="N63" t="s">
        <v>43</v>
      </c>
      <c r="O63" t="s">
        <v>43</v>
      </c>
      <c r="P63" t="s">
        <v>44</v>
      </c>
      <c r="Q63" t="s">
        <v>43</v>
      </c>
      <c r="R63" t="s">
        <v>43</v>
      </c>
      <c r="S63" t="s">
        <v>43</v>
      </c>
      <c r="T63">
        <v>5</v>
      </c>
      <c r="U63">
        <v>5</v>
      </c>
      <c r="V63">
        <v>5</v>
      </c>
      <c r="W63">
        <v>5</v>
      </c>
      <c r="X63">
        <v>5</v>
      </c>
      <c r="Y63">
        <v>0</v>
      </c>
      <c r="Z63">
        <v>6</v>
      </c>
      <c r="AA63">
        <v>10</v>
      </c>
      <c r="AB63">
        <v>8</v>
      </c>
      <c r="AC63">
        <v>11</v>
      </c>
      <c r="AD63" t="s">
        <v>46</v>
      </c>
      <c r="AE63" t="s">
        <v>56</v>
      </c>
      <c r="AF63" t="s">
        <v>46</v>
      </c>
      <c r="AG63" t="s">
        <v>61</v>
      </c>
      <c r="AH63">
        <v>1</v>
      </c>
      <c r="AI63" t="s">
        <v>48</v>
      </c>
    </row>
    <row r="64" spans="1:35" x14ac:dyDescent="0.25">
      <c r="A64" t="s">
        <v>35</v>
      </c>
      <c r="B64" t="s">
        <v>36</v>
      </c>
      <c r="C64">
        <v>16</v>
      </c>
      <c r="D64" t="s">
        <v>37</v>
      </c>
      <c r="E64" t="s">
        <v>53</v>
      </c>
      <c r="F64" t="s">
        <v>49</v>
      </c>
      <c r="G64" t="s">
        <v>50</v>
      </c>
      <c r="H64">
        <v>1</v>
      </c>
      <c r="I64">
        <v>2</v>
      </c>
      <c r="J64" t="s">
        <v>51</v>
      </c>
      <c r="K64" t="s">
        <v>54</v>
      </c>
      <c r="L64">
        <v>2</v>
      </c>
      <c r="M64">
        <v>1</v>
      </c>
      <c r="N64" t="s">
        <v>43</v>
      </c>
      <c r="O64" t="s">
        <v>44</v>
      </c>
      <c r="P64" t="s">
        <v>44</v>
      </c>
      <c r="Q64" t="s">
        <v>43</v>
      </c>
      <c r="R64" t="s">
        <v>43</v>
      </c>
      <c r="S64" t="s">
        <v>44</v>
      </c>
      <c r="T64">
        <v>4</v>
      </c>
      <c r="U64">
        <v>3</v>
      </c>
      <c r="V64">
        <v>1</v>
      </c>
      <c r="W64">
        <v>1</v>
      </c>
      <c r="X64">
        <v>1</v>
      </c>
      <c r="Y64">
        <v>0</v>
      </c>
      <c r="Z64">
        <v>4</v>
      </c>
      <c r="AA64">
        <v>8</v>
      </c>
      <c r="AB64">
        <v>10</v>
      </c>
      <c r="AC64">
        <v>9</v>
      </c>
      <c r="AD64" t="s">
        <v>45</v>
      </c>
      <c r="AE64" t="s">
        <v>45</v>
      </c>
      <c r="AF64" t="s">
        <v>52</v>
      </c>
      <c r="AG64" t="s">
        <v>47</v>
      </c>
      <c r="AH64">
        <v>1</v>
      </c>
      <c r="AI64" t="s">
        <v>48</v>
      </c>
    </row>
    <row r="65" spans="1:35" x14ac:dyDescent="0.25">
      <c r="A65" t="s">
        <v>35</v>
      </c>
      <c r="B65" t="s">
        <v>36</v>
      </c>
      <c r="C65">
        <v>16</v>
      </c>
      <c r="D65" t="s">
        <v>37</v>
      </c>
      <c r="E65" t="s">
        <v>38</v>
      </c>
      <c r="F65" t="s">
        <v>49</v>
      </c>
      <c r="G65" t="s">
        <v>40</v>
      </c>
      <c r="H65">
        <v>4</v>
      </c>
      <c r="I65">
        <v>3</v>
      </c>
      <c r="J65" t="s">
        <v>42</v>
      </c>
      <c r="K65" t="s">
        <v>23</v>
      </c>
      <c r="L65">
        <v>3</v>
      </c>
      <c r="M65">
        <v>1</v>
      </c>
      <c r="N65" t="s">
        <v>43</v>
      </c>
      <c r="O65" t="s">
        <v>43</v>
      </c>
      <c r="P65" t="s">
        <v>43</v>
      </c>
      <c r="Q65" t="s">
        <v>43</v>
      </c>
      <c r="R65" t="s">
        <v>43</v>
      </c>
      <c r="S65" t="s">
        <v>44</v>
      </c>
      <c r="T65">
        <v>4</v>
      </c>
      <c r="U65">
        <v>4</v>
      </c>
      <c r="V65">
        <v>2</v>
      </c>
      <c r="W65">
        <v>4</v>
      </c>
      <c r="X65">
        <v>4</v>
      </c>
      <c r="Y65">
        <v>0</v>
      </c>
      <c r="Z65">
        <v>2</v>
      </c>
      <c r="AA65">
        <v>10</v>
      </c>
      <c r="AB65">
        <v>9</v>
      </c>
      <c r="AC65">
        <v>9</v>
      </c>
      <c r="AD65" t="s">
        <v>45</v>
      </c>
      <c r="AE65" t="s">
        <v>45</v>
      </c>
      <c r="AF65" t="s">
        <v>52</v>
      </c>
      <c r="AG65" t="s">
        <v>57</v>
      </c>
      <c r="AH65">
        <v>-1</v>
      </c>
      <c r="AI65" t="s">
        <v>60</v>
      </c>
    </row>
    <row r="66" spans="1:35" x14ac:dyDescent="0.25">
      <c r="A66" t="s">
        <v>35</v>
      </c>
      <c r="B66" t="s">
        <v>36</v>
      </c>
      <c r="C66">
        <v>15</v>
      </c>
      <c r="D66" t="s">
        <v>37</v>
      </c>
      <c r="E66" t="s">
        <v>53</v>
      </c>
      <c r="F66" t="s">
        <v>49</v>
      </c>
      <c r="G66" t="s">
        <v>50</v>
      </c>
      <c r="H66">
        <v>4</v>
      </c>
      <c r="I66">
        <v>3</v>
      </c>
      <c r="J66" t="s">
        <v>54</v>
      </c>
      <c r="K66" t="s">
        <v>54</v>
      </c>
      <c r="L66">
        <v>2</v>
      </c>
      <c r="M66">
        <v>1</v>
      </c>
      <c r="N66" t="s">
        <v>43</v>
      </c>
      <c r="O66" t="s">
        <v>44</v>
      </c>
      <c r="P66" t="s">
        <v>44</v>
      </c>
      <c r="Q66" t="s">
        <v>43</v>
      </c>
      <c r="R66" t="s">
        <v>43</v>
      </c>
      <c r="S66" t="s">
        <v>43</v>
      </c>
      <c r="T66">
        <v>4</v>
      </c>
      <c r="U66">
        <v>4</v>
      </c>
      <c r="V66">
        <v>2</v>
      </c>
      <c r="W66">
        <v>4</v>
      </c>
      <c r="X66">
        <v>2</v>
      </c>
      <c r="Y66">
        <v>0</v>
      </c>
      <c r="Z66">
        <v>0</v>
      </c>
      <c r="AA66">
        <v>10</v>
      </c>
      <c r="AB66">
        <v>10</v>
      </c>
      <c r="AC66">
        <v>10</v>
      </c>
      <c r="AD66" t="s">
        <v>46</v>
      </c>
      <c r="AE66" t="s">
        <v>56</v>
      </c>
      <c r="AF66" t="s">
        <v>52</v>
      </c>
      <c r="AG66" t="s">
        <v>47</v>
      </c>
      <c r="AH66">
        <v>0</v>
      </c>
      <c r="AI66" t="s">
        <v>58</v>
      </c>
    </row>
    <row r="67" spans="1:35" x14ac:dyDescent="0.25">
      <c r="A67" t="s">
        <v>35</v>
      </c>
      <c r="B67" t="s">
        <v>36</v>
      </c>
      <c r="C67">
        <v>16</v>
      </c>
      <c r="D67" t="s">
        <v>37</v>
      </c>
      <c r="E67" t="s">
        <v>53</v>
      </c>
      <c r="F67" t="s">
        <v>49</v>
      </c>
      <c r="G67" t="s">
        <v>40</v>
      </c>
      <c r="H67">
        <v>4</v>
      </c>
      <c r="I67">
        <v>3</v>
      </c>
      <c r="J67" t="s">
        <v>42</v>
      </c>
      <c r="K67" t="s">
        <v>54</v>
      </c>
      <c r="L67">
        <v>2</v>
      </c>
      <c r="M67">
        <v>3</v>
      </c>
      <c r="N67" t="s">
        <v>44</v>
      </c>
      <c r="O67" t="s">
        <v>43</v>
      </c>
      <c r="P67" t="s">
        <v>44</v>
      </c>
      <c r="Q67" t="s">
        <v>43</v>
      </c>
      <c r="R67" t="s">
        <v>43</v>
      </c>
      <c r="S67" t="s">
        <v>44</v>
      </c>
      <c r="T67">
        <v>4</v>
      </c>
      <c r="U67">
        <v>3</v>
      </c>
      <c r="V67">
        <v>1</v>
      </c>
      <c r="W67">
        <v>2</v>
      </c>
      <c r="X67">
        <v>1</v>
      </c>
      <c r="Y67">
        <v>0</v>
      </c>
      <c r="Z67">
        <v>2</v>
      </c>
      <c r="AA67">
        <v>16</v>
      </c>
      <c r="AB67">
        <v>15</v>
      </c>
      <c r="AC67">
        <v>15</v>
      </c>
      <c r="AD67" t="s">
        <v>55</v>
      </c>
      <c r="AE67" t="s">
        <v>56</v>
      </c>
      <c r="AF67" t="s">
        <v>52</v>
      </c>
      <c r="AG67" t="s">
        <v>47</v>
      </c>
      <c r="AH67">
        <v>-1</v>
      </c>
      <c r="AI67" t="s">
        <v>60</v>
      </c>
    </row>
    <row r="68" spans="1:35" x14ac:dyDescent="0.25">
      <c r="A68" t="s">
        <v>35</v>
      </c>
      <c r="B68" t="s">
        <v>59</v>
      </c>
      <c r="C68">
        <v>15</v>
      </c>
      <c r="D68" t="s">
        <v>37</v>
      </c>
      <c r="E68" t="s">
        <v>38</v>
      </c>
      <c r="F68" t="s">
        <v>39</v>
      </c>
      <c r="G68" t="s">
        <v>40</v>
      </c>
      <c r="H68">
        <v>4</v>
      </c>
      <c r="I68">
        <v>4</v>
      </c>
      <c r="J68" t="s">
        <v>51</v>
      </c>
      <c r="K68" t="s">
        <v>54</v>
      </c>
      <c r="L68">
        <v>4</v>
      </c>
      <c r="M68">
        <v>1</v>
      </c>
      <c r="N68" t="s">
        <v>44</v>
      </c>
      <c r="O68" t="s">
        <v>43</v>
      </c>
      <c r="P68" t="s">
        <v>44</v>
      </c>
      <c r="Q68" t="s">
        <v>43</v>
      </c>
      <c r="R68" t="s">
        <v>43</v>
      </c>
      <c r="S68" t="s">
        <v>43</v>
      </c>
      <c r="T68">
        <v>3</v>
      </c>
      <c r="U68">
        <v>3</v>
      </c>
      <c r="V68">
        <v>5</v>
      </c>
      <c r="W68">
        <v>5</v>
      </c>
      <c r="X68">
        <v>3</v>
      </c>
      <c r="Y68">
        <v>0</v>
      </c>
      <c r="Z68">
        <v>4</v>
      </c>
      <c r="AA68">
        <v>13</v>
      </c>
      <c r="AB68">
        <v>13</v>
      </c>
      <c r="AC68">
        <v>12</v>
      </c>
      <c r="AD68" t="s">
        <v>46</v>
      </c>
      <c r="AE68" t="s">
        <v>56</v>
      </c>
      <c r="AF68" t="s">
        <v>52</v>
      </c>
      <c r="AG68" t="s">
        <v>64</v>
      </c>
      <c r="AH68">
        <v>-1</v>
      </c>
      <c r="AI68" t="s">
        <v>60</v>
      </c>
    </row>
    <row r="69" spans="1:35" x14ac:dyDescent="0.25">
      <c r="A69" t="s">
        <v>35</v>
      </c>
      <c r="B69" t="s">
        <v>36</v>
      </c>
      <c r="C69">
        <v>16</v>
      </c>
      <c r="D69" t="s">
        <v>37</v>
      </c>
      <c r="E69" t="s">
        <v>38</v>
      </c>
      <c r="F69" t="s">
        <v>49</v>
      </c>
      <c r="G69" t="s">
        <v>40</v>
      </c>
      <c r="H69">
        <v>3</v>
      </c>
      <c r="I69">
        <v>1</v>
      </c>
      <c r="J69" t="s">
        <v>54</v>
      </c>
      <c r="K69" t="s">
        <v>51</v>
      </c>
      <c r="L69">
        <v>4</v>
      </c>
      <c r="M69">
        <v>1</v>
      </c>
      <c r="N69" t="s">
        <v>43</v>
      </c>
      <c r="O69" t="s">
        <v>43</v>
      </c>
      <c r="P69" t="s">
        <v>43</v>
      </c>
      <c r="Q69" t="s">
        <v>44</v>
      </c>
      <c r="R69" t="s">
        <v>43</v>
      </c>
      <c r="S69" t="s">
        <v>44</v>
      </c>
      <c r="T69">
        <v>3</v>
      </c>
      <c r="U69">
        <v>3</v>
      </c>
      <c r="V69">
        <v>1</v>
      </c>
      <c r="W69">
        <v>2</v>
      </c>
      <c r="X69">
        <v>5</v>
      </c>
      <c r="Y69">
        <v>0</v>
      </c>
      <c r="Z69">
        <v>4</v>
      </c>
      <c r="AA69">
        <v>7</v>
      </c>
      <c r="AB69">
        <v>7</v>
      </c>
      <c r="AC69">
        <v>6</v>
      </c>
      <c r="AD69" t="s">
        <v>45</v>
      </c>
      <c r="AE69" t="s">
        <v>45</v>
      </c>
      <c r="AF69" t="s">
        <v>52</v>
      </c>
      <c r="AG69" t="s">
        <v>64</v>
      </c>
      <c r="AH69">
        <v>-1</v>
      </c>
      <c r="AI69" t="s">
        <v>60</v>
      </c>
    </row>
    <row r="70" spans="1:35" x14ac:dyDescent="0.25">
      <c r="A70" t="s">
        <v>35</v>
      </c>
      <c r="B70" t="s">
        <v>36</v>
      </c>
      <c r="C70">
        <v>15</v>
      </c>
      <c r="D70" t="s">
        <v>63</v>
      </c>
      <c r="E70" t="s">
        <v>53</v>
      </c>
      <c r="F70" t="s">
        <v>49</v>
      </c>
      <c r="G70" t="s">
        <v>40</v>
      </c>
      <c r="H70">
        <v>2</v>
      </c>
      <c r="I70">
        <v>2</v>
      </c>
      <c r="J70" t="s">
        <v>23</v>
      </c>
      <c r="K70" t="s">
        <v>54</v>
      </c>
      <c r="L70">
        <v>2</v>
      </c>
      <c r="M70">
        <v>2</v>
      </c>
      <c r="N70" t="s">
        <v>43</v>
      </c>
      <c r="O70" t="s">
        <v>43</v>
      </c>
      <c r="P70" t="s">
        <v>43</v>
      </c>
      <c r="Q70" t="s">
        <v>44</v>
      </c>
      <c r="R70" t="s">
        <v>43</v>
      </c>
      <c r="S70" t="s">
        <v>44</v>
      </c>
      <c r="T70">
        <v>1</v>
      </c>
      <c r="U70">
        <v>3</v>
      </c>
      <c r="V70">
        <v>1</v>
      </c>
      <c r="W70">
        <v>3</v>
      </c>
      <c r="X70">
        <v>4</v>
      </c>
      <c r="Y70">
        <v>0</v>
      </c>
      <c r="Z70">
        <v>2</v>
      </c>
      <c r="AA70">
        <v>8</v>
      </c>
      <c r="AB70">
        <v>9</v>
      </c>
      <c r="AC70">
        <v>8</v>
      </c>
      <c r="AD70" t="s">
        <v>45</v>
      </c>
      <c r="AE70" t="s">
        <v>45</v>
      </c>
      <c r="AF70" t="s">
        <v>52</v>
      </c>
      <c r="AG70" t="s">
        <v>47</v>
      </c>
      <c r="AH70">
        <v>0</v>
      </c>
      <c r="AI70" t="s">
        <v>58</v>
      </c>
    </row>
    <row r="71" spans="1:35" x14ac:dyDescent="0.25">
      <c r="A71" t="s">
        <v>35</v>
      </c>
      <c r="B71" t="s">
        <v>36</v>
      </c>
      <c r="C71">
        <v>15</v>
      </c>
      <c r="D71" t="s">
        <v>63</v>
      </c>
      <c r="E71" t="s">
        <v>53</v>
      </c>
      <c r="F71" t="s">
        <v>49</v>
      </c>
      <c r="G71" t="s">
        <v>50</v>
      </c>
      <c r="H71">
        <v>3</v>
      </c>
      <c r="I71">
        <v>1</v>
      </c>
      <c r="J71" t="s">
        <v>51</v>
      </c>
      <c r="K71" t="s">
        <v>51</v>
      </c>
      <c r="L71">
        <v>4</v>
      </c>
      <c r="M71">
        <v>2</v>
      </c>
      <c r="N71" t="s">
        <v>44</v>
      </c>
      <c r="O71" t="s">
        <v>43</v>
      </c>
      <c r="P71" t="s">
        <v>44</v>
      </c>
      <c r="Q71" t="s">
        <v>44</v>
      </c>
      <c r="R71" t="s">
        <v>43</v>
      </c>
      <c r="S71" t="s">
        <v>44</v>
      </c>
      <c r="T71">
        <v>4</v>
      </c>
      <c r="U71">
        <v>2</v>
      </c>
      <c r="V71">
        <v>2</v>
      </c>
      <c r="W71">
        <v>3</v>
      </c>
      <c r="X71">
        <v>3</v>
      </c>
      <c r="Y71">
        <v>0</v>
      </c>
      <c r="Z71">
        <v>12</v>
      </c>
      <c r="AA71">
        <v>16</v>
      </c>
      <c r="AB71">
        <v>16</v>
      </c>
      <c r="AC71">
        <v>16</v>
      </c>
      <c r="AD71" t="s">
        <v>55</v>
      </c>
      <c r="AE71" t="s">
        <v>45</v>
      </c>
      <c r="AF71" t="s">
        <v>46</v>
      </c>
      <c r="AG71" t="s">
        <v>64</v>
      </c>
      <c r="AH71">
        <v>0</v>
      </c>
      <c r="AI71" t="s">
        <v>58</v>
      </c>
    </row>
    <row r="72" spans="1:35" x14ac:dyDescent="0.25">
      <c r="A72" t="s">
        <v>35</v>
      </c>
      <c r="B72" t="s">
        <v>59</v>
      </c>
      <c r="C72">
        <v>16</v>
      </c>
      <c r="D72" t="s">
        <v>37</v>
      </c>
      <c r="E72" t="s">
        <v>38</v>
      </c>
      <c r="F72" t="s">
        <v>49</v>
      </c>
      <c r="G72" t="s">
        <v>50</v>
      </c>
      <c r="H72">
        <v>3</v>
      </c>
      <c r="I72">
        <v>1</v>
      </c>
      <c r="J72" t="s">
        <v>51</v>
      </c>
      <c r="K72" t="s">
        <v>51</v>
      </c>
      <c r="L72">
        <v>4</v>
      </c>
      <c r="M72">
        <v>2</v>
      </c>
      <c r="N72" t="s">
        <v>44</v>
      </c>
      <c r="O72" t="s">
        <v>43</v>
      </c>
      <c r="P72" t="s">
        <v>43</v>
      </c>
      <c r="Q72" t="s">
        <v>44</v>
      </c>
      <c r="R72" t="s">
        <v>43</v>
      </c>
      <c r="S72" t="s">
        <v>44</v>
      </c>
      <c r="T72">
        <v>3</v>
      </c>
      <c r="U72">
        <v>2</v>
      </c>
      <c r="V72">
        <v>1</v>
      </c>
      <c r="W72">
        <v>1</v>
      </c>
      <c r="X72">
        <v>5</v>
      </c>
      <c r="Y72">
        <v>0</v>
      </c>
      <c r="Z72">
        <v>0</v>
      </c>
      <c r="AA72">
        <v>13</v>
      </c>
      <c r="AB72">
        <v>15</v>
      </c>
      <c r="AC72">
        <v>15</v>
      </c>
      <c r="AD72" t="s">
        <v>55</v>
      </c>
      <c r="AE72" t="s">
        <v>56</v>
      </c>
      <c r="AF72" t="s">
        <v>52</v>
      </c>
      <c r="AG72" t="s">
        <v>64</v>
      </c>
      <c r="AH72">
        <v>2</v>
      </c>
      <c r="AI72" t="s">
        <v>48</v>
      </c>
    </row>
    <row r="73" spans="1:35" x14ac:dyDescent="0.25">
      <c r="A73" t="s">
        <v>35</v>
      </c>
      <c r="B73" t="s">
        <v>59</v>
      </c>
      <c r="C73">
        <v>15</v>
      </c>
      <c r="D73" t="s">
        <v>37</v>
      </c>
      <c r="E73" t="s">
        <v>38</v>
      </c>
      <c r="F73" t="s">
        <v>49</v>
      </c>
      <c r="G73" t="s">
        <v>40</v>
      </c>
      <c r="H73">
        <v>4</v>
      </c>
      <c r="I73">
        <v>2</v>
      </c>
      <c r="J73" t="s">
        <v>51</v>
      </c>
      <c r="K73" t="s">
        <v>51</v>
      </c>
      <c r="L73">
        <v>4</v>
      </c>
      <c r="M73">
        <v>1</v>
      </c>
      <c r="N73" t="s">
        <v>44</v>
      </c>
      <c r="O73" t="s">
        <v>44</v>
      </c>
      <c r="P73" t="s">
        <v>44</v>
      </c>
      <c r="Q73" t="s">
        <v>44</v>
      </c>
      <c r="R73" t="s">
        <v>43</v>
      </c>
      <c r="S73" t="s">
        <v>44</v>
      </c>
      <c r="T73">
        <v>3</v>
      </c>
      <c r="U73">
        <v>3</v>
      </c>
      <c r="V73">
        <v>1</v>
      </c>
      <c r="W73">
        <v>1</v>
      </c>
      <c r="X73">
        <v>3</v>
      </c>
      <c r="Y73">
        <v>0</v>
      </c>
      <c r="Z73">
        <v>0</v>
      </c>
      <c r="AA73">
        <v>10</v>
      </c>
      <c r="AB73">
        <v>10</v>
      </c>
      <c r="AC73">
        <v>10</v>
      </c>
      <c r="AD73" t="s">
        <v>46</v>
      </c>
      <c r="AE73" t="s">
        <v>56</v>
      </c>
      <c r="AF73" t="s">
        <v>52</v>
      </c>
      <c r="AG73" t="s">
        <v>64</v>
      </c>
      <c r="AH73">
        <v>0</v>
      </c>
      <c r="AI73" t="s">
        <v>58</v>
      </c>
    </row>
    <row r="74" spans="1:35" x14ac:dyDescent="0.25">
      <c r="A74" t="s">
        <v>35</v>
      </c>
      <c r="B74" t="s">
        <v>36</v>
      </c>
      <c r="C74">
        <v>15</v>
      </c>
      <c r="D74" t="s">
        <v>63</v>
      </c>
      <c r="E74" t="s">
        <v>38</v>
      </c>
      <c r="F74" t="s">
        <v>49</v>
      </c>
      <c r="G74" t="s">
        <v>40</v>
      </c>
      <c r="H74">
        <v>1</v>
      </c>
      <c r="I74">
        <v>1</v>
      </c>
      <c r="J74" t="s">
        <v>51</v>
      </c>
      <c r="K74" t="s">
        <v>51</v>
      </c>
      <c r="L74">
        <v>2</v>
      </c>
      <c r="M74">
        <v>1</v>
      </c>
      <c r="N74" t="s">
        <v>43</v>
      </c>
      <c r="O74" t="s">
        <v>43</v>
      </c>
      <c r="P74" t="s">
        <v>44</v>
      </c>
      <c r="Q74" t="s">
        <v>44</v>
      </c>
      <c r="R74" t="s">
        <v>43</v>
      </c>
      <c r="S74" t="s">
        <v>43</v>
      </c>
      <c r="T74">
        <v>3</v>
      </c>
      <c r="U74">
        <v>4</v>
      </c>
      <c r="V74">
        <v>2</v>
      </c>
      <c r="W74">
        <v>4</v>
      </c>
      <c r="X74">
        <v>5</v>
      </c>
      <c r="Y74">
        <v>2</v>
      </c>
      <c r="Z74">
        <v>2</v>
      </c>
      <c r="AA74">
        <v>8</v>
      </c>
      <c r="AB74">
        <v>6</v>
      </c>
      <c r="AC74">
        <v>5</v>
      </c>
      <c r="AD74" t="s">
        <v>45</v>
      </c>
      <c r="AE74" t="s">
        <v>45</v>
      </c>
      <c r="AF74" t="s">
        <v>52</v>
      </c>
      <c r="AG74" t="s">
        <v>47</v>
      </c>
      <c r="AH74">
        <v>-3</v>
      </c>
      <c r="AI74" t="s">
        <v>60</v>
      </c>
    </row>
    <row r="75" spans="1:35" x14ac:dyDescent="0.25">
      <c r="A75" t="s">
        <v>35</v>
      </c>
      <c r="B75" t="s">
        <v>59</v>
      </c>
      <c r="C75">
        <v>16</v>
      </c>
      <c r="D75" t="s">
        <v>37</v>
      </c>
      <c r="E75" t="s">
        <v>38</v>
      </c>
      <c r="F75" t="s">
        <v>49</v>
      </c>
      <c r="G75" t="s">
        <v>40</v>
      </c>
      <c r="H75">
        <v>3</v>
      </c>
      <c r="I75">
        <v>1</v>
      </c>
      <c r="J75" t="s">
        <v>51</v>
      </c>
      <c r="K75" t="s">
        <v>51</v>
      </c>
      <c r="L75">
        <v>1</v>
      </c>
      <c r="M75">
        <v>1</v>
      </c>
      <c r="N75" t="s">
        <v>44</v>
      </c>
      <c r="O75" t="s">
        <v>44</v>
      </c>
      <c r="P75" t="s">
        <v>44</v>
      </c>
      <c r="Q75" t="s">
        <v>43</v>
      </c>
      <c r="R75" t="s">
        <v>44</v>
      </c>
      <c r="S75" t="s">
        <v>44</v>
      </c>
      <c r="T75">
        <v>3</v>
      </c>
      <c r="U75">
        <v>2</v>
      </c>
      <c r="V75">
        <v>2</v>
      </c>
      <c r="W75">
        <v>2</v>
      </c>
      <c r="X75">
        <v>5</v>
      </c>
      <c r="Y75">
        <v>0</v>
      </c>
      <c r="Z75">
        <v>2</v>
      </c>
      <c r="AA75">
        <v>12</v>
      </c>
      <c r="AB75">
        <v>12</v>
      </c>
      <c r="AC75">
        <v>14</v>
      </c>
      <c r="AD75" t="s">
        <v>55</v>
      </c>
      <c r="AE75" t="s">
        <v>56</v>
      </c>
      <c r="AF75" t="s">
        <v>52</v>
      </c>
      <c r="AG75" t="s">
        <v>61</v>
      </c>
      <c r="AH75">
        <v>2</v>
      </c>
      <c r="AI75" t="s">
        <v>48</v>
      </c>
    </row>
    <row r="76" spans="1:35" x14ac:dyDescent="0.25">
      <c r="A76" t="s">
        <v>35</v>
      </c>
      <c r="B76" t="s">
        <v>36</v>
      </c>
      <c r="C76">
        <v>16</v>
      </c>
      <c r="D76" t="s">
        <v>37</v>
      </c>
      <c r="E76" t="s">
        <v>38</v>
      </c>
      <c r="F76" t="s">
        <v>49</v>
      </c>
      <c r="G76" t="s">
        <v>40</v>
      </c>
      <c r="H76">
        <v>3</v>
      </c>
      <c r="I76">
        <v>3</v>
      </c>
      <c r="J76" t="s">
        <v>51</v>
      </c>
      <c r="K76" t="s">
        <v>54</v>
      </c>
      <c r="L76">
        <v>2</v>
      </c>
      <c r="M76">
        <v>1</v>
      </c>
      <c r="N76" t="s">
        <v>43</v>
      </c>
      <c r="O76" t="s">
        <v>43</v>
      </c>
      <c r="P76" t="s">
        <v>43</v>
      </c>
      <c r="Q76" t="s">
        <v>43</v>
      </c>
      <c r="R76" t="s">
        <v>43</v>
      </c>
      <c r="S76" t="s">
        <v>44</v>
      </c>
      <c r="T76">
        <v>3</v>
      </c>
      <c r="U76">
        <v>3</v>
      </c>
      <c r="V76">
        <v>2</v>
      </c>
      <c r="W76">
        <v>4</v>
      </c>
      <c r="X76">
        <v>5</v>
      </c>
      <c r="Y76">
        <v>0</v>
      </c>
      <c r="Z76">
        <v>54</v>
      </c>
      <c r="AA76">
        <v>11</v>
      </c>
      <c r="AB76">
        <v>12</v>
      </c>
      <c r="AC76">
        <v>11</v>
      </c>
      <c r="AD76" t="s">
        <v>46</v>
      </c>
      <c r="AE76" t="s">
        <v>45</v>
      </c>
      <c r="AF76" t="s">
        <v>62</v>
      </c>
      <c r="AG76" t="s">
        <v>47</v>
      </c>
      <c r="AH76">
        <v>0</v>
      </c>
      <c r="AI76" t="s">
        <v>58</v>
      </c>
    </row>
    <row r="77" spans="1:35" x14ac:dyDescent="0.25">
      <c r="A77" t="s">
        <v>35</v>
      </c>
      <c r="B77" t="s">
        <v>59</v>
      </c>
      <c r="C77">
        <v>15</v>
      </c>
      <c r="D77" t="s">
        <v>37</v>
      </c>
      <c r="E77" t="s">
        <v>38</v>
      </c>
      <c r="F77" t="s">
        <v>49</v>
      </c>
      <c r="G77" t="s">
        <v>40</v>
      </c>
      <c r="H77">
        <v>4</v>
      </c>
      <c r="I77">
        <v>3</v>
      </c>
      <c r="J77" t="s">
        <v>42</v>
      </c>
      <c r="K77" t="s">
        <v>51</v>
      </c>
      <c r="L77">
        <v>2</v>
      </c>
      <c r="M77">
        <v>1</v>
      </c>
      <c r="N77" t="s">
        <v>44</v>
      </c>
      <c r="O77" t="s">
        <v>43</v>
      </c>
      <c r="P77" t="s">
        <v>43</v>
      </c>
      <c r="Q77" t="s">
        <v>43</v>
      </c>
      <c r="R77" t="s">
        <v>43</v>
      </c>
      <c r="S77" t="s">
        <v>44</v>
      </c>
      <c r="T77">
        <v>3</v>
      </c>
      <c r="U77">
        <v>3</v>
      </c>
      <c r="V77">
        <v>2</v>
      </c>
      <c r="W77">
        <v>3</v>
      </c>
      <c r="X77">
        <v>5</v>
      </c>
      <c r="Y77">
        <v>0</v>
      </c>
      <c r="Z77">
        <v>6</v>
      </c>
      <c r="AA77">
        <v>9</v>
      </c>
      <c r="AB77">
        <v>9</v>
      </c>
      <c r="AC77">
        <v>10</v>
      </c>
      <c r="AD77" t="s">
        <v>46</v>
      </c>
      <c r="AE77" t="s">
        <v>56</v>
      </c>
      <c r="AF77" t="s">
        <v>46</v>
      </c>
      <c r="AG77" t="s">
        <v>47</v>
      </c>
      <c r="AH77">
        <v>1</v>
      </c>
      <c r="AI77" t="s">
        <v>48</v>
      </c>
    </row>
    <row r="78" spans="1:35" x14ac:dyDescent="0.25">
      <c r="A78" t="s">
        <v>35</v>
      </c>
      <c r="B78" t="s">
        <v>59</v>
      </c>
      <c r="C78">
        <v>15</v>
      </c>
      <c r="D78" t="s">
        <v>37</v>
      </c>
      <c r="E78" t="s">
        <v>38</v>
      </c>
      <c r="F78" t="s">
        <v>49</v>
      </c>
      <c r="G78" t="s">
        <v>40</v>
      </c>
      <c r="H78">
        <v>4</v>
      </c>
      <c r="I78">
        <v>0</v>
      </c>
      <c r="J78" t="s">
        <v>42</v>
      </c>
      <c r="K78" t="s">
        <v>51</v>
      </c>
      <c r="L78">
        <v>4</v>
      </c>
      <c r="M78">
        <v>2</v>
      </c>
      <c r="N78" t="s">
        <v>44</v>
      </c>
      <c r="O78" t="s">
        <v>44</v>
      </c>
      <c r="P78" t="s">
        <v>44</v>
      </c>
      <c r="Q78" t="s">
        <v>43</v>
      </c>
      <c r="R78" t="s">
        <v>43</v>
      </c>
      <c r="S78" t="s">
        <v>44</v>
      </c>
      <c r="T78">
        <v>4</v>
      </c>
      <c r="U78">
        <v>3</v>
      </c>
      <c r="V78">
        <v>1</v>
      </c>
      <c r="W78">
        <v>1</v>
      </c>
      <c r="X78">
        <v>1</v>
      </c>
      <c r="Y78">
        <v>0</v>
      </c>
      <c r="Z78">
        <v>8</v>
      </c>
      <c r="AA78">
        <v>11</v>
      </c>
      <c r="AB78">
        <v>11</v>
      </c>
      <c r="AC78">
        <v>10</v>
      </c>
      <c r="AD78" t="s">
        <v>46</v>
      </c>
      <c r="AE78" t="s">
        <v>56</v>
      </c>
      <c r="AF78" t="s">
        <v>46</v>
      </c>
      <c r="AG78" t="s">
        <v>64</v>
      </c>
      <c r="AH78">
        <v>-1</v>
      </c>
      <c r="AI78" t="s">
        <v>60</v>
      </c>
    </row>
    <row r="79" spans="1:35" x14ac:dyDescent="0.25">
      <c r="A79" t="s">
        <v>35</v>
      </c>
      <c r="B79" t="s">
        <v>36</v>
      </c>
      <c r="C79">
        <v>16</v>
      </c>
      <c r="D79" t="s">
        <v>37</v>
      </c>
      <c r="E79" t="s">
        <v>38</v>
      </c>
      <c r="F79" t="s">
        <v>49</v>
      </c>
      <c r="G79" t="s">
        <v>40</v>
      </c>
      <c r="H79">
        <v>2</v>
      </c>
      <c r="I79">
        <v>2</v>
      </c>
      <c r="J79" t="s">
        <v>51</v>
      </c>
      <c r="K79" t="s">
        <v>51</v>
      </c>
      <c r="L79">
        <v>4</v>
      </c>
      <c r="M79">
        <v>1</v>
      </c>
      <c r="N79" t="s">
        <v>44</v>
      </c>
      <c r="O79" t="s">
        <v>44</v>
      </c>
      <c r="P79" t="s">
        <v>43</v>
      </c>
      <c r="Q79" t="s">
        <v>44</v>
      </c>
      <c r="R79" t="s">
        <v>43</v>
      </c>
      <c r="S79" t="s">
        <v>43</v>
      </c>
      <c r="T79">
        <v>2</v>
      </c>
      <c r="U79">
        <v>3</v>
      </c>
      <c r="V79">
        <v>1</v>
      </c>
      <c r="W79">
        <v>3</v>
      </c>
      <c r="X79">
        <v>3</v>
      </c>
      <c r="Y79">
        <v>0</v>
      </c>
      <c r="Z79">
        <v>0</v>
      </c>
      <c r="AA79">
        <v>11</v>
      </c>
      <c r="AB79">
        <v>11</v>
      </c>
      <c r="AC79">
        <v>11</v>
      </c>
      <c r="AD79" t="s">
        <v>46</v>
      </c>
      <c r="AE79" t="s">
        <v>56</v>
      </c>
      <c r="AF79" t="s">
        <v>52</v>
      </c>
      <c r="AG79" t="s">
        <v>64</v>
      </c>
      <c r="AH79">
        <v>0</v>
      </c>
      <c r="AI79" t="s">
        <v>58</v>
      </c>
    </row>
    <row r="80" spans="1:35" x14ac:dyDescent="0.25">
      <c r="A80" t="s">
        <v>35</v>
      </c>
      <c r="B80" t="s">
        <v>59</v>
      </c>
      <c r="C80">
        <v>17</v>
      </c>
      <c r="D80" t="s">
        <v>37</v>
      </c>
      <c r="E80" t="s">
        <v>38</v>
      </c>
      <c r="F80" t="s">
        <v>49</v>
      </c>
      <c r="G80" t="s">
        <v>40</v>
      </c>
      <c r="H80">
        <v>2</v>
      </c>
      <c r="I80">
        <v>1</v>
      </c>
      <c r="J80" t="s">
        <v>51</v>
      </c>
      <c r="K80" t="s">
        <v>51</v>
      </c>
      <c r="L80">
        <v>1</v>
      </c>
      <c r="M80">
        <v>2</v>
      </c>
      <c r="N80" t="s">
        <v>43</v>
      </c>
      <c r="O80" t="s">
        <v>43</v>
      </c>
      <c r="P80" t="s">
        <v>44</v>
      </c>
      <c r="Q80" t="s">
        <v>43</v>
      </c>
      <c r="R80" t="s">
        <v>43</v>
      </c>
      <c r="S80" t="s">
        <v>44</v>
      </c>
      <c r="T80">
        <v>5</v>
      </c>
      <c r="U80">
        <v>1</v>
      </c>
      <c r="V80">
        <v>1</v>
      </c>
      <c r="W80">
        <v>1</v>
      </c>
      <c r="X80">
        <v>3</v>
      </c>
      <c r="Y80">
        <v>3</v>
      </c>
      <c r="Z80">
        <v>2</v>
      </c>
      <c r="AA80">
        <v>8</v>
      </c>
      <c r="AB80">
        <v>8</v>
      </c>
      <c r="AC80">
        <v>10</v>
      </c>
      <c r="AD80" t="s">
        <v>46</v>
      </c>
      <c r="AE80" t="s">
        <v>45</v>
      </c>
      <c r="AF80" t="s">
        <v>52</v>
      </c>
      <c r="AG80" t="s">
        <v>61</v>
      </c>
      <c r="AH80">
        <v>2</v>
      </c>
      <c r="AI80" t="s">
        <v>48</v>
      </c>
    </row>
    <row r="81" spans="1:35" x14ac:dyDescent="0.25">
      <c r="A81" t="s">
        <v>35</v>
      </c>
      <c r="B81" t="s">
        <v>36</v>
      </c>
      <c r="C81">
        <v>16</v>
      </c>
      <c r="D81" t="s">
        <v>37</v>
      </c>
      <c r="E81" t="s">
        <v>38</v>
      </c>
      <c r="F81" t="s">
        <v>49</v>
      </c>
      <c r="G81" t="s">
        <v>40</v>
      </c>
      <c r="H81">
        <v>3</v>
      </c>
      <c r="I81">
        <v>4</v>
      </c>
      <c r="J81" t="s">
        <v>41</v>
      </c>
      <c r="K81" t="s">
        <v>51</v>
      </c>
      <c r="L81">
        <v>2</v>
      </c>
      <c r="M81">
        <v>1</v>
      </c>
      <c r="N81" t="s">
        <v>44</v>
      </c>
      <c r="O81" t="s">
        <v>43</v>
      </c>
      <c r="P81" t="s">
        <v>44</v>
      </c>
      <c r="Q81" t="s">
        <v>44</v>
      </c>
      <c r="R81" t="s">
        <v>43</v>
      </c>
      <c r="S81" t="s">
        <v>44</v>
      </c>
      <c r="T81">
        <v>4</v>
      </c>
      <c r="U81">
        <v>3</v>
      </c>
      <c r="V81">
        <v>1</v>
      </c>
      <c r="W81">
        <v>2</v>
      </c>
      <c r="X81">
        <v>3</v>
      </c>
      <c r="Y81">
        <v>0</v>
      </c>
      <c r="Z81">
        <v>12</v>
      </c>
      <c r="AA81">
        <v>5</v>
      </c>
      <c r="AB81">
        <v>5</v>
      </c>
      <c r="AC81">
        <v>5</v>
      </c>
      <c r="AD81" t="s">
        <v>45</v>
      </c>
      <c r="AE81" t="s">
        <v>45</v>
      </c>
      <c r="AF81" t="s">
        <v>46</v>
      </c>
      <c r="AG81" t="s">
        <v>47</v>
      </c>
      <c r="AH81">
        <v>0</v>
      </c>
      <c r="AI81" t="s">
        <v>58</v>
      </c>
    </row>
    <row r="82" spans="1:35" x14ac:dyDescent="0.25">
      <c r="A82" t="s">
        <v>35</v>
      </c>
      <c r="B82" t="s">
        <v>59</v>
      </c>
      <c r="C82">
        <v>15</v>
      </c>
      <c r="D82" t="s">
        <v>37</v>
      </c>
      <c r="E82" t="s">
        <v>38</v>
      </c>
      <c r="F82" t="s">
        <v>49</v>
      </c>
      <c r="G82" t="s">
        <v>50</v>
      </c>
      <c r="H82">
        <v>2</v>
      </c>
      <c r="I82">
        <v>3</v>
      </c>
      <c r="J82" t="s">
        <v>51</v>
      </c>
      <c r="K82" t="s">
        <v>54</v>
      </c>
      <c r="L82">
        <v>1</v>
      </c>
      <c r="M82">
        <v>1</v>
      </c>
      <c r="N82" t="s">
        <v>43</v>
      </c>
      <c r="O82" t="s">
        <v>43</v>
      </c>
      <c r="P82" t="s">
        <v>43</v>
      </c>
      <c r="Q82" t="s">
        <v>43</v>
      </c>
      <c r="R82" t="s">
        <v>43</v>
      </c>
      <c r="S82" t="s">
        <v>43</v>
      </c>
      <c r="T82">
        <v>2</v>
      </c>
      <c r="U82">
        <v>2</v>
      </c>
      <c r="V82">
        <v>1</v>
      </c>
      <c r="W82">
        <v>3</v>
      </c>
      <c r="X82">
        <v>3</v>
      </c>
      <c r="Y82">
        <v>0</v>
      </c>
      <c r="Z82">
        <v>2</v>
      </c>
      <c r="AA82">
        <v>10</v>
      </c>
      <c r="AB82">
        <v>12</v>
      </c>
      <c r="AC82">
        <v>12</v>
      </c>
      <c r="AD82" t="s">
        <v>46</v>
      </c>
      <c r="AE82" t="s">
        <v>56</v>
      </c>
      <c r="AF82" t="s">
        <v>52</v>
      </c>
      <c r="AG82" t="s">
        <v>61</v>
      </c>
      <c r="AH82">
        <v>2</v>
      </c>
      <c r="AI82" t="s">
        <v>48</v>
      </c>
    </row>
    <row r="83" spans="1:35" x14ac:dyDescent="0.25">
      <c r="A83" t="s">
        <v>35</v>
      </c>
      <c r="B83" t="s">
        <v>59</v>
      </c>
      <c r="C83">
        <v>15</v>
      </c>
      <c r="D83" t="s">
        <v>37</v>
      </c>
      <c r="E83" t="s">
        <v>38</v>
      </c>
      <c r="F83" t="s">
        <v>49</v>
      </c>
      <c r="G83" t="s">
        <v>40</v>
      </c>
      <c r="H83">
        <v>2</v>
      </c>
      <c r="I83">
        <v>3</v>
      </c>
      <c r="J83" t="s">
        <v>51</v>
      </c>
      <c r="K83" t="s">
        <v>51</v>
      </c>
      <c r="L83">
        <v>3</v>
      </c>
      <c r="M83">
        <v>1</v>
      </c>
      <c r="N83" t="s">
        <v>43</v>
      </c>
      <c r="O83" t="s">
        <v>44</v>
      </c>
      <c r="P83" t="s">
        <v>43</v>
      </c>
      <c r="Q83" t="s">
        <v>44</v>
      </c>
      <c r="R83" t="s">
        <v>43</v>
      </c>
      <c r="S83" t="s">
        <v>44</v>
      </c>
      <c r="T83">
        <v>3</v>
      </c>
      <c r="U83">
        <v>2</v>
      </c>
      <c r="V83">
        <v>1</v>
      </c>
      <c r="W83">
        <v>2</v>
      </c>
      <c r="X83">
        <v>5</v>
      </c>
      <c r="Y83">
        <v>0</v>
      </c>
      <c r="Z83">
        <v>4</v>
      </c>
      <c r="AA83">
        <v>11</v>
      </c>
      <c r="AB83">
        <v>10</v>
      </c>
      <c r="AC83">
        <v>11</v>
      </c>
      <c r="AD83" t="s">
        <v>46</v>
      </c>
      <c r="AE83" t="s">
        <v>56</v>
      </c>
      <c r="AF83" t="s">
        <v>52</v>
      </c>
      <c r="AG83" t="s">
        <v>57</v>
      </c>
      <c r="AH83">
        <v>0</v>
      </c>
      <c r="AI83" t="s">
        <v>58</v>
      </c>
    </row>
    <row r="84" spans="1:35" x14ac:dyDescent="0.25">
      <c r="A84" t="s">
        <v>35</v>
      </c>
      <c r="B84" t="s">
        <v>36</v>
      </c>
      <c r="C84">
        <v>15</v>
      </c>
      <c r="D84" t="s">
        <v>37</v>
      </c>
      <c r="E84" t="s">
        <v>53</v>
      </c>
      <c r="F84" t="s">
        <v>49</v>
      </c>
      <c r="G84" t="s">
        <v>40</v>
      </c>
      <c r="H84">
        <v>3</v>
      </c>
      <c r="I84">
        <v>2</v>
      </c>
      <c r="J84" t="s">
        <v>54</v>
      </c>
      <c r="K84" t="s">
        <v>51</v>
      </c>
      <c r="L84">
        <v>2</v>
      </c>
      <c r="M84">
        <v>1</v>
      </c>
      <c r="N84" t="s">
        <v>44</v>
      </c>
      <c r="O84" t="s">
        <v>43</v>
      </c>
      <c r="P84" t="s">
        <v>43</v>
      </c>
      <c r="Q84" t="s">
        <v>44</v>
      </c>
      <c r="R84" t="s">
        <v>43</v>
      </c>
      <c r="S84" t="s">
        <v>44</v>
      </c>
      <c r="T84">
        <v>4</v>
      </c>
      <c r="U84">
        <v>4</v>
      </c>
      <c r="V84">
        <v>1</v>
      </c>
      <c r="W84">
        <v>1</v>
      </c>
      <c r="X84">
        <v>5</v>
      </c>
      <c r="Y84">
        <v>0</v>
      </c>
      <c r="Z84">
        <v>10</v>
      </c>
      <c r="AA84">
        <v>7</v>
      </c>
      <c r="AB84">
        <v>6</v>
      </c>
      <c r="AC84">
        <v>6</v>
      </c>
      <c r="AD84" t="s">
        <v>45</v>
      </c>
      <c r="AE84" t="s">
        <v>45</v>
      </c>
      <c r="AF84" t="s">
        <v>46</v>
      </c>
      <c r="AG84" t="s">
        <v>47</v>
      </c>
      <c r="AH84">
        <v>-1</v>
      </c>
      <c r="AI84" t="s">
        <v>60</v>
      </c>
    </row>
    <row r="85" spans="1:35" x14ac:dyDescent="0.25">
      <c r="A85" t="s">
        <v>35</v>
      </c>
      <c r="B85" t="s">
        <v>59</v>
      </c>
      <c r="C85">
        <v>15</v>
      </c>
      <c r="D85" t="s">
        <v>37</v>
      </c>
      <c r="E85" t="s">
        <v>53</v>
      </c>
      <c r="F85" t="s">
        <v>49</v>
      </c>
      <c r="G85" t="s">
        <v>40</v>
      </c>
      <c r="H85">
        <v>2</v>
      </c>
      <c r="I85">
        <v>2</v>
      </c>
      <c r="J85" t="s">
        <v>54</v>
      </c>
      <c r="K85" t="s">
        <v>54</v>
      </c>
      <c r="L85">
        <v>2</v>
      </c>
      <c r="M85">
        <v>2</v>
      </c>
      <c r="N85" t="s">
        <v>44</v>
      </c>
      <c r="O85" t="s">
        <v>44</v>
      </c>
      <c r="P85" t="s">
        <v>43</v>
      </c>
      <c r="Q85" t="s">
        <v>43</v>
      </c>
      <c r="R85" t="s">
        <v>43</v>
      </c>
      <c r="S85" t="s">
        <v>44</v>
      </c>
      <c r="T85">
        <v>3</v>
      </c>
      <c r="U85">
        <v>3</v>
      </c>
      <c r="V85">
        <v>1</v>
      </c>
      <c r="W85">
        <v>3</v>
      </c>
      <c r="X85">
        <v>4</v>
      </c>
      <c r="Y85">
        <v>0</v>
      </c>
      <c r="Z85">
        <v>4</v>
      </c>
      <c r="AA85">
        <v>15</v>
      </c>
      <c r="AB85">
        <v>15</v>
      </c>
      <c r="AC85">
        <v>15</v>
      </c>
      <c r="AD85" t="s">
        <v>55</v>
      </c>
      <c r="AE85" t="s">
        <v>56</v>
      </c>
      <c r="AF85" t="s">
        <v>52</v>
      </c>
      <c r="AG85" t="s">
        <v>47</v>
      </c>
      <c r="AH85">
        <v>0</v>
      </c>
      <c r="AI85" t="s">
        <v>58</v>
      </c>
    </row>
    <row r="86" spans="1:35" x14ac:dyDescent="0.25">
      <c r="A86" t="s">
        <v>35</v>
      </c>
      <c r="B86" t="s">
        <v>36</v>
      </c>
      <c r="C86">
        <v>15</v>
      </c>
      <c r="D86" t="s">
        <v>37</v>
      </c>
      <c r="E86" t="s">
        <v>38</v>
      </c>
      <c r="F86" t="s">
        <v>49</v>
      </c>
      <c r="G86" t="s">
        <v>50</v>
      </c>
      <c r="H86">
        <v>1</v>
      </c>
      <c r="I86">
        <v>1</v>
      </c>
      <c r="J86" t="s">
        <v>51</v>
      </c>
      <c r="K86" t="s">
        <v>51</v>
      </c>
      <c r="L86">
        <v>2</v>
      </c>
      <c r="M86">
        <v>1</v>
      </c>
      <c r="N86" t="s">
        <v>44</v>
      </c>
      <c r="O86" t="s">
        <v>43</v>
      </c>
      <c r="P86" t="s">
        <v>44</v>
      </c>
      <c r="Q86" t="s">
        <v>43</v>
      </c>
      <c r="R86" t="s">
        <v>43</v>
      </c>
      <c r="S86" t="s">
        <v>44</v>
      </c>
      <c r="T86">
        <v>3</v>
      </c>
      <c r="U86">
        <v>2</v>
      </c>
      <c r="V86">
        <v>2</v>
      </c>
      <c r="W86">
        <v>3</v>
      </c>
      <c r="X86">
        <v>4</v>
      </c>
      <c r="Y86">
        <v>0</v>
      </c>
      <c r="Z86">
        <v>2</v>
      </c>
      <c r="AA86">
        <v>9</v>
      </c>
      <c r="AB86">
        <v>10</v>
      </c>
      <c r="AC86">
        <v>10</v>
      </c>
      <c r="AD86" t="s">
        <v>46</v>
      </c>
      <c r="AE86" t="s">
        <v>56</v>
      </c>
      <c r="AF86" t="s">
        <v>52</v>
      </c>
      <c r="AG86" t="s">
        <v>47</v>
      </c>
      <c r="AH86">
        <v>1</v>
      </c>
      <c r="AI86" t="s">
        <v>48</v>
      </c>
    </row>
    <row r="87" spans="1:35" x14ac:dyDescent="0.25">
      <c r="A87" t="s">
        <v>35</v>
      </c>
      <c r="B87" t="s">
        <v>36</v>
      </c>
      <c r="C87">
        <v>15</v>
      </c>
      <c r="D87" t="s">
        <v>37</v>
      </c>
      <c r="E87" t="s">
        <v>38</v>
      </c>
      <c r="F87" t="s">
        <v>49</v>
      </c>
      <c r="G87" t="s">
        <v>50</v>
      </c>
      <c r="H87">
        <v>4</v>
      </c>
      <c r="I87">
        <v>4</v>
      </c>
      <c r="J87" t="s">
        <v>54</v>
      </c>
      <c r="K87" t="s">
        <v>54</v>
      </c>
      <c r="L87">
        <v>2</v>
      </c>
      <c r="M87">
        <v>2</v>
      </c>
      <c r="N87" t="s">
        <v>44</v>
      </c>
      <c r="O87" t="s">
        <v>44</v>
      </c>
      <c r="P87" t="s">
        <v>43</v>
      </c>
      <c r="Q87" t="s">
        <v>44</v>
      </c>
      <c r="R87" t="s">
        <v>43</v>
      </c>
      <c r="S87" t="s">
        <v>43</v>
      </c>
      <c r="T87">
        <v>4</v>
      </c>
      <c r="U87">
        <v>4</v>
      </c>
      <c r="V87">
        <v>2</v>
      </c>
      <c r="W87">
        <v>3</v>
      </c>
      <c r="X87">
        <v>5</v>
      </c>
      <c r="Y87">
        <v>2</v>
      </c>
      <c r="Z87">
        <v>6</v>
      </c>
      <c r="AA87">
        <v>7</v>
      </c>
      <c r="AB87">
        <v>9</v>
      </c>
      <c r="AC87">
        <v>8</v>
      </c>
      <c r="AD87" t="s">
        <v>45</v>
      </c>
      <c r="AE87" t="s">
        <v>45</v>
      </c>
      <c r="AF87" t="s">
        <v>46</v>
      </c>
      <c r="AG87" t="s">
        <v>47</v>
      </c>
      <c r="AH87">
        <v>1</v>
      </c>
      <c r="AI87" t="s">
        <v>48</v>
      </c>
    </row>
    <row r="88" spans="1:35" x14ac:dyDescent="0.25">
      <c r="A88" t="s">
        <v>35</v>
      </c>
      <c r="B88" t="s">
        <v>36</v>
      </c>
      <c r="C88">
        <v>16</v>
      </c>
      <c r="D88" t="s">
        <v>37</v>
      </c>
      <c r="E88" t="s">
        <v>53</v>
      </c>
      <c r="F88" t="s">
        <v>49</v>
      </c>
      <c r="G88" t="s">
        <v>40</v>
      </c>
      <c r="H88">
        <v>2</v>
      </c>
      <c r="I88">
        <v>2</v>
      </c>
      <c r="J88" t="s">
        <v>41</v>
      </c>
      <c r="K88" t="s">
        <v>51</v>
      </c>
      <c r="L88">
        <v>2</v>
      </c>
      <c r="M88">
        <v>1</v>
      </c>
      <c r="N88" t="s">
        <v>44</v>
      </c>
      <c r="O88" t="s">
        <v>43</v>
      </c>
      <c r="P88" t="s">
        <v>44</v>
      </c>
      <c r="Q88" t="s">
        <v>44</v>
      </c>
      <c r="R88" t="s">
        <v>44</v>
      </c>
      <c r="S88" t="s">
        <v>44</v>
      </c>
      <c r="T88">
        <v>3</v>
      </c>
      <c r="U88">
        <v>4</v>
      </c>
      <c r="V88">
        <v>1</v>
      </c>
      <c r="W88">
        <v>2</v>
      </c>
      <c r="X88">
        <v>2</v>
      </c>
      <c r="Y88">
        <v>0</v>
      </c>
      <c r="Z88">
        <v>4</v>
      </c>
      <c r="AA88">
        <v>8</v>
      </c>
      <c r="AB88">
        <v>7</v>
      </c>
      <c r="AC88">
        <v>6</v>
      </c>
      <c r="AD88" t="s">
        <v>45</v>
      </c>
      <c r="AE88" t="s">
        <v>45</v>
      </c>
      <c r="AF88" t="s">
        <v>52</v>
      </c>
      <c r="AG88" t="s">
        <v>47</v>
      </c>
      <c r="AH88">
        <v>-2</v>
      </c>
      <c r="AI88" t="s">
        <v>60</v>
      </c>
    </row>
    <row r="89" spans="1:35" x14ac:dyDescent="0.25">
      <c r="A89" t="s">
        <v>35</v>
      </c>
      <c r="B89" t="s">
        <v>36</v>
      </c>
      <c r="C89">
        <v>15</v>
      </c>
      <c r="D89" t="s">
        <v>37</v>
      </c>
      <c r="E89" t="s">
        <v>38</v>
      </c>
      <c r="F89" t="s">
        <v>49</v>
      </c>
      <c r="G89" t="s">
        <v>40</v>
      </c>
      <c r="H89">
        <v>4</v>
      </c>
      <c r="I89">
        <v>2</v>
      </c>
      <c r="J89" t="s">
        <v>51</v>
      </c>
      <c r="K89" t="s">
        <v>51</v>
      </c>
      <c r="L89">
        <v>3</v>
      </c>
      <c r="M89">
        <v>1</v>
      </c>
      <c r="N89" t="s">
        <v>44</v>
      </c>
      <c r="O89" t="s">
        <v>43</v>
      </c>
      <c r="P89" t="s">
        <v>44</v>
      </c>
      <c r="Q89" t="s">
        <v>43</v>
      </c>
      <c r="R89" t="s">
        <v>43</v>
      </c>
      <c r="S89" t="s">
        <v>44</v>
      </c>
      <c r="T89">
        <v>3</v>
      </c>
      <c r="U89">
        <v>3</v>
      </c>
      <c r="V89">
        <v>1</v>
      </c>
      <c r="W89">
        <v>3</v>
      </c>
      <c r="X89">
        <v>1</v>
      </c>
      <c r="Y89">
        <v>0</v>
      </c>
      <c r="Z89">
        <v>4</v>
      </c>
      <c r="AA89">
        <v>13</v>
      </c>
      <c r="AB89">
        <v>14</v>
      </c>
      <c r="AC89">
        <v>14</v>
      </c>
      <c r="AD89" t="s">
        <v>55</v>
      </c>
      <c r="AE89" t="s">
        <v>56</v>
      </c>
      <c r="AF89" t="s">
        <v>52</v>
      </c>
      <c r="AG89" t="s">
        <v>57</v>
      </c>
      <c r="AH89">
        <v>1</v>
      </c>
      <c r="AI89" t="s">
        <v>48</v>
      </c>
    </row>
    <row r="90" spans="1:35" x14ac:dyDescent="0.25">
      <c r="A90" t="s">
        <v>35</v>
      </c>
      <c r="B90" t="s">
        <v>59</v>
      </c>
      <c r="C90">
        <v>16</v>
      </c>
      <c r="D90" t="s">
        <v>37</v>
      </c>
      <c r="E90" t="s">
        <v>38</v>
      </c>
      <c r="F90" t="s">
        <v>49</v>
      </c>
      <c r="G90" t="s">
        <v>50</v>
      </c>
      <c r="H90">
        <v>2</v>
      </c>
      <c r="I90">
        <v>2</v>
      </c>
      <c r="J90" t="s">
        <v>54</v>
      </c>
      <c r="K90" t="s">
        <v>51</v>
      </c>
      <c r="L90">
        <v>2</v>
      </c>
      <c r="M90">
        <v>2</v>
      </c>
      <c r="N90" t="s">
        <v>44</v>
      </c>
      <c r="O90" t="s">
        <v>44</v>
      </c>
      <c r="P90" t="s">
        <v>43</v>
      </c>
      <c r="Q90" t="s">
        <v>43</v>
      </c>
      <c r="R90" t="s">
        <v>43</v>
      </c>
      <c r="S90" t="s">
        <v>44</v>
      </c>
      <c r="T90">
        <v>4</v>
      </c>
      <c r="U90">
        <v>2</v>
      </c>
      <c r="V90">
        <v>1</v>
      </c>
      <c r="W90">
        <v>1</v>
      </c>
      <c r="X90">
        <v>3</v>
      </c>
      <c r="Y90">
        <v>1</v>
      </c>
      <c r="Z90">
        <v>12</v>
      </c>
      <c r="AA90">
        <v>11</v>
      </c>
      <c r="AB90">
        <v>10</v>
      </c>
      <c r="AC90">
        <v>10</v>
      </c>
      <c r="AD90" t="s">
        <v>46</v>
      </c>
      <c r="AE90" t="s">
        <v>45</v>
      </c>
      <c r="AF90" t="s">
        <v>46</v>
      </c>
      <c r="AG90" t="s">
        <v>47</v>
      </c>
      <c r="AH90">
        <v>-1</v>
      </c>
      <c r="AI90" t="s">
        <v>60</v>
      </c>
    </row>
    <row r="91" spans="1:35" x14ac:dyDescent="0.25">
      <c r="A91" t="s">
        <v>35</v>
      </c>
      <c r="B91" t="s">
        <v>59</v>
      </c>
      <c r="C91">
        <v>16</v>
      </c>
      <c r="D91" t="s">
        <v>37</v>
      </c>
      <c r="E91" t="s">
        <v>53</v>
      </c>
      <c r="F91" t="s">
        <v>39</v>
      </c>
      <c r="G91" t="s">
        <v>40</v>
      </c>
      <c r="H91">
        <v>4</v>
      </c>
      <c r="I91">
        <v>4</v>
      </c>
      <c r="J91" t="s">
        <v>42</v>
      </c>
      <c r="K91" t="s">
        <v>23</v>
      </c>
      <c r="L91">
        <v>2</v>
      </c>
      <c r="M91">
        <v>1</v>
      </c>
      <c r="N91" t="s">
        <v>44</v>
      </c>
      <c r="O91" t="s">
        <v>43</v>
      </c>
      <c r="P91" t="s">
        <v>44</v>
      </c>
      <c r="Q91" t="s">
        <v>44</v>
      </c>
      <c r="R91" t="s">
        <v>44</v>
      </c>
      <c r="S91" t="s">
        <v>44</v>
      </c>
      <c r="T91">
        <v>1</v>
      </c>
      <c r="U91">
        <v>3</v>
      </c>
      <c r="V91">
        <v>3</v>
      </c>
      <c r="W91">
        <v>5</v>
      </c>
      <c r="X91">
        <v>5</v>
      </c>
      <c r="Y91">
        <v>0</v>
      </c>
      <c r="Z91">
        <v>18</v>
      </c>
      <c r="AA91">
        <v>8</v>
      </c>
      <c r="AB91">
        <v>6</v>
      </c>
      <c r="AC91">
        <v>7</v>
      </c>
      <c r="AD91" t="s">
        <v>45</v>
      </c>
      <c r="AE91" t="s">
        <v>45</v>
      </c>
      <c r="AF91" t="s">
        <v>62</v>
      </c>
      <c r="AG91" t="s">
        <v>47</v>
      </c>
      <c r="AH91">
        <v>-1</v>
      </c>
      <c r="AI91" t="s">
        <v>60</v>
      </c>
    </row>
    <row r="92" spans="1:35" x14ac:dyDescent="0.25">
      <c r="A92" t="s">
        <v>35</v>
      </c>
      <c r="B92" t="s">
        <v>36</v>
      </c>
      <c r="C92">
        <v>16</v>
      </c>
      <c r="D92" t="s">
        <v>37</v>
      </c>
      <c r="E92" t="s">
        <v>38</v>
      </c>
      <c r="F92" t="s">
        <v>49</v>
      </c>
      <c r="G92" t="s">
        <v>40</v>
      </c>
      <c r="H92">
        <v>3</v>
      </c>
      <c r="I92">
        <v>3</v>
      </c>
      <c r="J92" t="s">
        <v>51</v>
      </c>
      <c r="K92" t="s">
        <v>51</v>
      </c>
      <c r="L92">
        <v>3</v>
      </c>
      <c r="M92">
        <v>1</v>
      </c>
      <c r="N92" t="s">
        <v>44</v>
      </c>
      <c r="O92" t="s">
        <v>43</v>
      </c>
      <c r="P92" t="s">
        <v>43</v>
      </c>
      <c r="Q92" t="s">
        <v>44</v>
      </c>
      <c r="R92" t="s">
        <v>43</v>
      </c>
      <c r="S92" t="s">
        <v>43</v>
      </c>
      <c r="T92">
        <v>3</v>
      </c>
      <c r="U92">
        <v>3</v>
      </c>
      <c r="V92">
        <v>1</v>
      </c>
      <c r="W92">
        <v>3</v>
      </c>
      <c r="X92">
        <v>4</v>
      </c>
      <c r="Y92">
        <v>0</v>
      </c>
      <c r="Z92">
        <v>0</v>
      </c>
      <c r="AA92">
        <v>7</v>
      </c>
      <c r="AB92">
        <v>7</v>
      </c>
      <c r="AC92">
        <v>8</v>
      </c>
      <c r="AD92" t="s">
        <v>45</v>
      </c>
      <c r="AE92" t="s">
        <v>45</v>
      </c>
      <c r="AF92" t="s">
        <v>52</v>
      </c>
      <c r="AG92" t="s">
        <v>57</v>
      </c>
      <c r="AH92">
        <v>1</v>
      </c>
      <c r="AI92" t="s">
        <v>48</v>
      </c>
    </row>
    <row r="93" spans="1:35" x14ac:dyDescent="0.25">
      <c r="A93" t="s">
        <v>35</v>
      </c>
      <c r="B93" t="s">
        <v>36</v>
      </c>
      <c r="C93">
        <v>15</v>
      </c>
      <c r="D93" t="s">
        <v>37</v>
      </c>
      <c r="E93" t="s">
        <v>38</v>
      </c>
      <c r="F93" t="s">
        <v>49</v>
      </c>
      <c r="G93" t="s">
        <v>40</v>
      </c>
      <c r="H93">
        <v>4</v>
      </c>
      <c r="I93">
        <v>3</v>
      </c>
      <c r="J93" t="s">
        <v>54</v>
      </c>
      <c r="K93" t="s">
        <v>51</v>
      </c>
      <c r="L93">
        <v>1</v>
      </c>
      <c r="M93">
        <v>1</v>
      </c>
      <c r="N93" t="s">
        <v>44</v>
      </c>
      <c r="O93" t="s">
        <v>44</v>
      </c>
      <c r="P93" t="s">
        <v>43</v>
      </c>
      <c r="Q93" t="s">
        <v>43</v>
      </c>
      <c r="R93" t="s">
        <v>43</v>
      </c>
      <c r="S93" t="s">
        <v>44</v>
      </c>
      <c r="T93">
        <v>5</v>
      </c>
      <c r="U93">
        <v>5</v>
      </c>
      <c r="V93">
        <v>1</v>
      </c>
      <c r="W93">
        <v>3</v>
      </c>
      <c r="X93">
        <v>1</v>
      </c>
      <c r="Y93">
        <v>0</v>
      </c>
      <c r="Z93">
        <v>4</v>
      </c>
      <c r="AA93">
        <v>16</v>
      </c>
      <c r="AB93">
        <v>17</v>
      </c>
      <c r="AC93">
        <v>18</v>
      </c>
      <c r="AD93" t="s">
        <v>55</v>
      </c>
      <c r="AE93" t="s">
        <v>56</v>
      </c>
      <c r="AF93" t="s">
        <v>52</v>
      </c>
      <c r="AG93" t="s">
        <v>61</v>
      </c>
      <c r="AH93">
        <v>2</v>
      </c>
      <c r="AI93" t="s">
        <v>48</v>
      </c>
    </row>
    <row r="94" spans="1:35" x14ac:dyDescent="0.25">
      <c r="A94" t="s">
        <v>35</v>
      </c>
      <c r="B94" t="s">
        <v>36</v>
      </c>
      <c r="C94">
        <v>16</v>
      </c>
      <c r="D94" t="s">
        <v>37</v>
      </c>
      <c r="E94" t="s">
        <v>53</v>
      </c>
      <c r="F94" t="s">
        <v>49</v>
      </c>
      <c r="G94" t="s">
        <v>50</v>
      </c>
      <c r="H94">
        <v>3</v>
      </c>
      <c r="I94">
        <v>1</v>
      </c>
      <c r="J94" t="s">
        <v>51</v>
      </c>
      <c r="K94" t="s">
        <v>51</v>
      </c>
      <c r="L94">
        <v>2</v>
      </c>
      <c r="M94">
        <v>1</v>
      </c>
      <c r="N94" t="s">
        <v>43</v>
      </c>
      <c r="O94" t="s">
        <v>43</v>
      </c>
      <c r="P94" t="s">
        <v>44</v>
      </c>
      <c r="Q94" t="s">
        <v>44</v>
      </c>
      <c r="R94" t="s">
        <v>44</v>
      </c>
      <c r="S94" t="s">
        <v>44</v>
      </c>
      <c r="T94">
        <v>3</v>
      </c>
      <c r="U94">
        <v>3</v>
      </c>
      <c r="V94">
        <v>2</v>
      </c>
      <c r="W94">
        <v>3</v>
      </c>
      <c r="X94">
        <v>2</v>
      </c>
      <c r="Y94">
        <v>0</v>
      </c>
      <c r="Z94">
        <v>4</v>
      </c>
      <c r="AA94">
        <v>7</v>
      </c>
      <c r="AB94">
        <v>6</v>
      </c>
      <c r="AC94">
        <v>6</v>
      </c>
      <c r="AD94" t="s">
        <v>45</v>
      </c>
      <c r="AE94" t="s">
        <v>45</v>
      </c>
      <c r="AF94" t="s">
        <v>52</v>
      </c>
      <c r="AG94" t="s">
        <v>47</v>
      </c>
      <c r="AH94">
        <v>-1</v>
      </c>
      <c r="AI94" t="s">
        <v>60</v>
      </c>
    </row>
    <row r="95" spans="1:35" x14ac:dyDescent="0.25">
      <c r="A95" t="s">
        <v>35</v>
      </c>
      <c r="B95" t="s">
        <v>36</v>
      </c>
      <c r="C95">
        <v>16</v>
      </c>
      <c r="D95" t="s">
        <v>37</v>
      </c>
      <c r="E95" t="s">
        <v>38</v>
      </c>
      <c r="F95" t="s">
        <v>49</v>
      </c>
      <c r="G95" t="s">
        <v>40</v>
      </c>
      <c r="H95">
        <v>4</v>
      </c>
      <c r="I95">
        <v>2</v>
      </c>
      <c r="J95" t="s">
        <v>42</v>
      </c>
      <c r="K95" t="s">
        <v>54</v>
      </c>
      <c r="L95">
        <v>2</v>
      </c>
      <c r="M95">
        <v>2</v>
      </c>
      <c r="N95" t="s">
        <v>44</v>
      </c>
      <c r="O95" t="s">
        <v>43</v>
      </c>
      <c r="P95" t="s">
        <v>43</v>
      </c>
      <c r="Q95" t="s">
        <v>43</v>
      </c>
      <c r="R95" t="s">
        <v>43</v>
      </c>
      <c r="S95" t="s">
        <v>44</v>
      </c>
      <c r="T95">
        <v>3</v>
      </c>
      <c r="U95">
        <v>3</v>
      </c>
      <c r="V95">
        <v>1</v>
      </c>
      <c r="W95">
        <v>1</v>
      </c>
      <c r="X95">
        <v>1</v>
      </c>
      <c r="Y95">
        <v>0</v>
      </c>
      <c r="Z95">
        <v>0</v>
      </c>
      <c r="AA95">
        <v>11</v>
      </c>
      <c r="AB95">
        <v>10</v>
      </c>
      <c r="AC95">
        <v>10</v>
      </c>
      <c r="AD95" t="s">
        <v>46</v>
      </c>
      <c r="AE95" t="s">
        <v>56</v>
      </c>
      <c r="AF95" t="s">
        <v>52</v>
      </c>
      <c r="AG95" t="s">
        <v>47</v>
      </c>
      <c r="AH95">
        <v>-1</v>
      </c>
      <c r="AI95" t="s">
        <v>60</v>
      </c>
    </row>
    <row r="96" spans="1:35" x14ac:dyDescent="0.25">
      <c r="A96" t="s">
        <v>35</v>
      </c>
      <c r="B96" t="s">
        <v>59</v>
      </c>
      <c r="C96">
        <v>15</v>
      </c>
      <c r="D96" t="s">
        <v>37</v>
      </c>
      <c r="E96" t="s">
        <v>53</v>
      </c>
      <c r="F96" t="s">
        <v>49</v>
      </c>
      <c r="G96" t="s">
        <v>40</v>
      </c>
      <c r="H96">
        <v>2</v>
      </c>
      <c r="I96">
        <v>2</v>
      </c>
      <c r="J96" t="s">
        <v>54</v>
      </c>
      <c r="K96" t="s">
        <v>23</v>
      </c>
      <c r="L96">
        <v>4</v>
      </c>
      <c r="M96">
        <v>1</v>
      </c>
      <c r="N96" t="s">
        <v>44</v>
      </c>
      <c r="O96" t="s">
        <v>43</v>
      </c>
      <c r="P96" t="s">
        <v>44</v>
      </c>
      <c r="Q96" t="s">
        <v>43</v>
      </c>
      <c r="R96" t="s">
        <v>43</v>
      </c>
      <c r="S96" t="s">
        <v>44</v>
      </c>
      <c r="T96">
        <v>3</v>
      </c>
      <c r="U96">
        <v>4</v>
      </c>
      <c r="V96">
        <v>1</v>
      </c>
      <c r="W96">
        <v>1</v>
      </c>
      <c r="X96">
        <v>4</v>
      </c>
      <c r="Y96">
        <v>0</v>
      </c>
      <c r="Z96">
        <v>6</v>
      </c>
      <c r="AA96">
        <v>11</v>
      </c>
      <c r="AB96">
        <v>13</v>
      </c>
      <c r="AC96">
        <v>14</v>
      </c>
      <c r="AD96" t="s">
        <v>55</v>
      </c>
      <c r="AE96" t="s">
        <v>56</v>
      </c>
      <c r="AF96" t="s">
        <v>46</v>
      </c>
      <c r="AG96" t="s">
        <v>64</v>
      </c>
      <c r="AH96">
        <v>3</v>
      </c>
      <c r="AI96" t="s">
        <v>48</v>
      </c>
    </row>
    <row r="97" spans="1:35" x14ac:dyDescent="0.25">
      <c r="A97" t="s">
        <v>35</v>
      </c>
      <c r="B97" t="s">
        <v>36</v>
      </c>
      <c r="C97">
        <v>15</v>
      </c>
      <c r="D97" t="s">
        <v>63</v>
      </c>
      <c r="E97" t="s">
        <v>38</v>
      </c>
      <c r="F97" t="s">
        <v>49</v>
      </c>
      <c r="G97" t="s">
        <v>40</v>
      </c>
      <c r="H97">
        <v>1</v>
      </c>
      <c r="I97">
        <v>1</v>
      </c>
      <c r="J97" t="s">
        <v>41</v>
      </c>
      <c r="K97" t="s">
        <v>51</v>
      </c>
      <c r="L97">
        <v>4</v>
      </c>
      <c r="M97">
        <v>2</v>
      </c>
      <c r="N97" t="s">
        <v>43</v>
      </c>
      <c r="O97" t="s">
        <v>43</v>
      </c>
      <c r="P97" t="s">
        <v>43</v>
      </c>
      <c r="Q97" t="s">
        <v>43</v>
      </c>
      <c r="R97" t="s">
        <v>43</v>
      </c>
      <c r="S97" t="s">
        <v>44</v>
      </c>
      <c r="T97">
        <v>1</v>
      </c>
      <c r="U97">
        <v>2</v>
      </c>
      <c r="V97">
        <v>1</v>
      </c>
      <c r="W97">
        <v>1</v>
      </c>
      <c r="X97">
        <v>1</v>
      </c>
      <c r="Y97">
        <v>1</v>
      </c>
      <c r="Z97">
        <v>2</v>
      </c>
      <c r="AA97">
        <v>7</v>
      </c>
      <c r="AB97">
        <v>10</v>
      </c>
      <c r="AC97">
        <v>10</v>
      </c>
      <c r="AD97" t="s">
        <v>46</v>
      </c>
      <c r="AE97" t="s">
        <v>45</v>
      </c>
      <c r="AF97" t="s">
        <v>52</v>
      </c>
      <c r="AG97" t="s">
        <v>64</v>
      </c>
      <c r="AH97">
        <v>3</v>
      </c>
      <c r="AI97" t="s">
        <v>48</v>
      </c>
    </row>
    <row r="98" spans="1:35" x14ac:dyDescent="0.25">
      <c r="A98" t="s">
        <v>35</v>
      </c>
      <c r="B98" t="s">
        <v>59</v>
      </c>
      <c r="C98">
        <v>16</v>
      </c>
      <c r="D98" t="s">
        <v>63</v>
      </c>
      <c r="E98" t="s">
        <v>38</v>
      </c>
      <c r="F98" t="s">
        <v>49</v>
      </c>
      <c r="G98" t="s">
        <v>40</v>
      </c>
      <c r="H98">
        <v>4</v>
      </c>
      <c r="I98">
        <v>3</v>
      </c>
      <c r="J98" t="s">
        <v>54</v>
      </c>
      <c r="K98" t="s">
        <v>51</v>
      </c>
      <c r="L98">
        <v>1</v>
      </c>
      <c r="M98">
        <v>2</v>
      </c>
      <c r="N98" t="s">
        <v>43</v>
      </c>
      <c r="O98" t="s">
        <v>43</v>
      </c>
      <c r="P98" t="s">
        <v>44</v>
      </c>
      <c r="Q98" t="s">
        <v>43</v>
      </c>
      <c r="R98" t="s">
        <v>43</v>
      </c>
      <c r="S98" t="s">
        <v>44</v>
      </c>
      <c r="T98">
        <v>3</v>
      </c>
      <c r="U98">
        <v>3</v>
      </c>
      <c r="V98">
        <v>1</v>
      </c>
      <c r="W98">
        <v>1</v>
      </c>
      <c r="X98">
        <v>4</v>
      </c>
      <c r="Y98">
        <v>0</v>
      </c>
      <c r="Z98">
        <v>2</v>
      </c>
      <c r="AA98">
        <v>11</v>
      </c>
      <c r="AB98">
        <v>15</v>
      </c>
      <c r="AC98">
        <v>15</v>
      </c>
      <c r="AD98" t="s">
        <v>55</v>
      </c>
      <c r="AE98" t="s">
        <v>56</v>
      </c>
      <c r="AF98" t="s">
        <v>52</v>
      </c>
      <c r="AG98" t="s">
        <v>61</v>
      </c>
      <c r="AH98">
        <v>4</v>
      </c>
      <c r="AI98" t="s">
        <v>48</v>
      </c>
    </row>
    <row r="99" spans="1:35" x14ac:dyDescent="0.25">
      <c r="A99" t="s">
        <v>35</v>
      </c>
      <c r="B99" t="s">
        <v>36</v>
      </c>
      <c r="C99">
        <v>16</v>
      </c>
      <c r="D99" t="s">
        <v>37</v>
      </c>
      <c r="E99" t="s">
        <v>38</v>
      </c>
      <c r="F99" t="s">
        <v>49</v>
      </c>
      <c r="G99" t="s">
        <v>40</v>
      </c>
      <c r="H99">
        <v>2</v>
      </c>
      <c r="I99">
        <v>1</v>
      </c>
      <c r="J99" t="s">
        <v>51</v>
      </c>
      <c r="K99" t="s">
        <v>51</v>
      </c>
      <c r="L99">
        <v>2</v>
      </c>
      <c r="M99">
        <v>1</v>
      </c>
      <c r="N99" t="s">
        <v>44</v>
      </c>
      <c r="O99" t="s">
        <v>43</v>
      </c>
      <c r="P99" t="s">
        <v>43</v>
      </c>
      <c r="Q99" t="s">
        <v>44</v>
      </c>
      <c r="R99" t="s">
        <v>44</v>
      </c>
      <c r="S99" t="s">
        <v>43</v>
      </c>
      <c r="T99">
        <v>3</v>
      </c>
      <c r="U99">
        <v>5</v>
      </c>
      <c r="V99">
        <v>1</v>
      </c>
      <c r="W99">
        <v>1</v>
      </c>
      <c r="X99">
        <v>5</v>
      </c>
      <c r="Y99">
        <v>0</v>
      </c>
      <c r="Z99">
        <v>2</v>
      </c>
      <c r="AA99">
        <v>8</v>
      </c>
      <c r="AB99">
        <v>9</v>
      </c>
      <c r="AC99">
        <v>10</v>
      </c>
      <c r="AD99" t="s">
        <v>46</v>
      </c>
      <c r="AE99" t="s">
        <v>56</v>
      </c>
      <c r="AF99" t="s">
        <v>52</v>
      </c>
      <c r="AG99" t="s">
        <v>47</v>
      </c>
      <c r="AH99">
        <v>2</v>
      </c>
      <c r="AI99" t="s">
        <v>48</v>
      </c>
    </row>
    <row r="100" spans="1:35" x14ac:dyDescent="0.25">
      <c r="A100" t="s">
        <v>35</v>
      </c>
      <c r="B100" t="s">
        <v>36</v>
      </c>
      <c r="C100">
        <v>16</v>
      </c>
      <c r="D100" t="s">
        <v>37</v>
      </c>
      <c r="E100" t="s">
        <v>38</v>
      </c>
      <c r="F100" t="s">
        <v>49</v>
      </c>
      <c r="G100" t="s">
        <v>40</v>
      </c>
      <c r="H100">
        <v>4</v>
      </c>
      <c r="I100">
        <v>4</v>
      </c>
      <c r="J100" t="s">
        <v>51</v>
      </c>
      <c r="K100" t="s">
        <v>51</v>
      </c>
      <c r="L100">
        <v>1</v>
      </c>
      <c r="M100">
        <v>1</v>
      </c>
      <c r="N100" t="s">
        <v>44</v>
      </c>
      <c r="O100" t="s">
        <v>44</v>
      </c>
      <c r="P100" t="s">
        <v>44</v>
      </c>
      <c r="Q100" t="s">
        <v>43</v>
      </c>
      <c r="R100" t="s">
        <v>43</v>
      </c>
      <c r="S100" t="s">
        <v>44</v>
      </c>
      <c r="T100">
        <v>3</v>
      </c>
      <c r="U100">
        <v>4</v>
      </c>
      <c r="V100">
        <v>1</v>
      </c>
      <c r="W100">
        <v>2</v>
      </c>
      <c r="X100">
        <v>1</v>
      </c>
      <c r="Y100">
        <v>0</v>
      </c>
      <c r="Z100">
        <v>6</v>
      </c>
      <c r="AA100">
        <v>11</v>
      </c>
      <c r="AB100">
        <v>14</v>
      </c>
      <c r="AC100">
        <v>14</v>
      </c>
      <c r="AD100" t="s">
        <v>55</v>
      </c>
      <c r="AE100" t="s">
        <v>56</v>
      </c>
      <c r="AF100" t="s">
        <v>46</v>
      </c>
      <c r="AG100" t="s">
        <v>61</v>
      </c>
      <c r="AH100">
        <v>3</v>
      </c>
      <c r="AI100" t="s">
        <v>48</v>
      </c>
    </row>
    <row r="101" spans="1:35" x14ac:dyDescent="0.25">
      <c r="A101" t="s">
        <v>35</v>
      </c>
      <c r="B101" t="s">
        <v>36</v>
      </c>
      <c r="C101">
        <v>16</v>
      </c>
      <c r="D101" t="s">
        <v>37</v>
      </c>
      <c r="E101" t="s">
        <v>38</v>
      </c>
      <c r="F101" t="s">
        <v>49</v>
      </c>
      <c r="G101" t="s">
        <v>40</v>
      </c>
      <c r="H101">
        <v>4</v>
      </c>
      <c r="I101">
        <v>3</v>
      </c>
      <c r="J101" t="s">
        <v>51</v>
      </c>
      <c r="K101" t="s">
        <v>41</v>
      </c>
      <c r="L101">
        <v>3</v>
      </c>
      <c r="M101">
        <v>1</v>
      </c>
      <c r="N101" t="s">
        <v>43</v>
      </c>
      <c r="O101" t="s">
        <v>43</v>
      </c>
      <c r="P101" t="s">
        <v>43</v>
      </c>
      <c r="Q101" t="s">
        <v>44</v>
      </c>
      <c r="R101" t="s">
        <v>43</v>
      </c>
      <c r="S101" t="s">
        <v>44</v>
      </c>
      <c r="T101">
        <v>3</v>
      </c>
      <c r="U101">
        <v>5</v>
      </c>
      <c r="V101">
        <v>1</v>
      </c>
      <c r="W101">
        <v>1</v>
      </c>
      <c r="X101">
        <v>3</v>
      </c>
      <c r="Y101">
        <v>0</v>
      </c>
      <c r="Z101">
        <v>0</v>
      </c>
      <c r="AA101">
        <v>7</v>
      </c>
      <c r="AB101">
        <v>9</v>
      </c>
      <c r="AC101">
        <v>8</v>
      </c>
      <c r="AD101" t="s">
        <v>45</v>
      </c>
      <c r="AE101" t="s">
        <v>45</v>
      </c>
      <c r="AF101" t="s">
        <v>52</v>
      </c>
      <c r="AG101" t="s">
        <v>57</v>
      </c>
      <c r="AH101">
        <v>1</v>
      </c>
      <c r="AI101" t="s">
        <v>48</v>
      </c>
    </row>
    <row r="102" spans="1:35" x14ac:dyDescent="0.25">
      <c r="A102" t="s">
        <v>35</v>
      </c>
      <c r="B102" t="s">
        <v>59</v>
      </c>
      <c r="C102">
        <v>16</v>
      </c>
      <c r="D102" t="s">
        <v>37</v>
      </c>
      <c r="E102" t="s">
        <v>38</v>
      </c>
      <c r="F102" t="s">
        <v>49</v>
      </c>
      <c r="G102" t="s">
        <v>40</v>
      </c>
      <c r="H102">
        <v>4</v>
      </c>
      <c r="I102">
        <v>4</v>
      </c>
      <c r="J102" t="s">
        <v>54</v>
      </c>
      <c r="K102" t="s">
        <v>54</v>
      </c>
      <c r="L102">
        <v>1</v>
      </c>
      <c r="M102">
        <v>1</v>
      </c>
      <c r="N102" t="s">
        <v>43</v>
      </c>
      <c r="O102" t="s">
        <v>43</v>
      </c>
      <c r="P102" t="s">
        <v>43</v>
      </c>
      <c r="Q102" t="s">
        <v>43</v>
      </c>
      <c r="R102" t="s">
        <v>43</v>
      </c>
      <c r="S102" t="s">
        <v>44</v>
      </c>
      <c r="T102">
        <v>5</v>
      </c>
      <c r="U102">
        <v>5</v>
      </c>
      <c r="V102">
        <v>5</v>
      </c>
      <c r="W102">
        <v>5</v>
      </c>
      <c r="X102">
        <v>4</v>
      </c>
      <c r="Y102">
        <v>0</v>
      </c>
      <c r="Z102">
        <v>14</v>
      </c>
      <c r="AA102">
        <v>7</v>
      </c>
      <c r="AB102">
        <v>7</v>
      </c>
      <c r="AC102">
        <v>5</v>
      </c>
      <c r="AD102" t="s">
        <v>45</v>
      </c>
      <c r="AE102" t="s">
        <v>45</v>
      </c>
      <c r="AF102" t="s">
        <v>46</v>
      </c>
      <c r="AG102" t="s">
        <v>61</v>
      </c>
      <c r="AH102">
        <v>-2</v>
      </c>
      <c r="AI102" t="s">
        <v>60</v>
      </c>
    </row>
    <row r="103" spans="1:35" x14ac:dyDescent="0.25">
      <c r="A103" t="s">
        <v>35</v>
      </c>
      <c r="B103" t="s">
        <v>59</v>
      </c>
      <c r="C103">
        <v>16</v>
      </c>
      <c r="D103" t="s">
        <v>37</v>
      </c>
      <c r="E103" t="s">
        <v>38</v>
      </c>
      <c r="F103" t="s">
        <v>49</v>
      </c>
      <c r="G103" t="s">
        <v>50</v>
      </c>
      <c r="H103">
        <v>4</v>
      </c>
      <c r="I103">
        <v>4</v>
      </c>
      <c r="J103" t="s">
        <v>54</v>
      </c>
      <c r="K103" t="s">
        <v>42</v>
      </c>
      <c r="L103">
        <v>3</v>
      </c>
      <c r="M103">
        <v>1</v>
      </c>
      <c r="N103" t="s">
        <v>44</v>
      </c>
      <c r="O103" t="s">
        <v>43</v>
      </c>
      <c r="P103" t="s">
        <v>44</v>
      </c>
      <c r="Q103" t="s">
        <v>43</v>
      </c>
      <c r="R103" t="s">
        <v>43</v>
      </c>
      <c r="S103" t="s">
        <v>43</v>
      </c>
      <c r="T103">
        <v>4</v>
      </c>
      <c r="U103">
        <v>3</v>
      </c>
      <c r="V103">
        <v>1</v>
      </c>
      <c r="W103">
        <v>1</v>
      </c>
      <c r="X103">
        <v>4</v>
      </c>
      <c r="Y103">
        <v>0</v>
      </c>
      <c r="Z103">
        <v>0</v>
      </c>
      <c r="AA103">
        <v>16</v>
      </c>
      <c r="AB103">
        <v>17</v>
      </c>
      <c r="AC103">
        <v>17</v>
      </c>
      <c r="AD103" t="s">
        <v>55</v>
      </c>
      <c r="AE103" t="s">
        <v>56</v>
      </c>
      <c r="AF103" t="s">
        <v>52</v>
      </c>
      <c r="AG103" t="s">
        <v>57</v>
      </c>
      <c r="AH103">
        <v>1</v>
      </c>
      <c r="AI103" t="s">
        <v>48</v>
      </c>
    </row>
    <row r="104" spans="1:35" x14ac:dyDescent="0.25">
      <c r="A104" t="s">
        <v>35</v>
      </c>
      <c r="B104" t="s">
        <v>59</v>
      </c>
      <c r="C104">
        <v>15</v>
      </c>
      <c r="D104" t="s">
        <v>37</v>
      </c>
      <c r="E104" t="s">
        <v>38</v>
      </c>
      <c r="F104" t="s">
        <v>49</v>
      </c>
      <c r="G104" t="s">
        <v>40</v>
      </c>
      <c r="H104">
        <v>4</v>
      </c>
      <c r="I104">
        <v>4</v>
      </c>
      <c r="J104" t="s">
        <v>54</v>
      </c>
      <c r="K104" t="s">
        <v>51</v>
      </c>
      <c r="L104">
        <v>1</v>
      </c>
      <c r="M104">
        <v>1</v>
      </c>
      <c r="N104" t="s">
        <v>44</v>
      </c>
      <c r="O104" t="s">
        <v>43</v>
      </c>
      <c r="P104" t="s">
        <v>44</v>
      </c>
      <c r="Q104" t="s">
        <v>43</v>
      </c>
      <c r="R104" t="s">
        <v>43</v>
      </c>
      <c r="S104" t="s">
        <v>44</v>
      </c>
      <c r="T104">
        <v>3</v>
      </c>
      <c r="U104">
        <v>3</v>
      </c>
      <c r="V104">
        <v>1</v>
      </c>
      <c r="W104">
        <v>1</v>
      </c>
      <c r="X104">
        <v>5</v>
      </c>
      <c r="Y104">
        <v>0</v>
      </c>
      <c r="Z104">
        <v>4</v>
      </c>
      <c r="AA104">
        <v>10</v>
      </c>
      <c r="AB104">
        <v>13</v>
      </c>
      <c r="AC104">
        <v>14</v>
      </c>
      <c r="AD104" t="s">
        <v>55</v>
      </c>
      <c r="AE104" t="s">
        <v>56</v>
      </c>
      <c r="AF104" t="s">
        <v>52</v>
      </c>
      <c r="AG104" t="s">
        <v>61</v>
      </c>
      <c r="AH104">
        <v>4</v>
      </c>
      <c r="AI104" t="s">
        <v>48</v>
      </c>
    </row>
    <row r="105" spans="1:35" x14ac:dyDescent="0.25">
      <c r="A105" t="s">
        <v>35</v>
      </c>
      <c r="B105" t="s">
        <v>36</v>
      </c>
      <c r="C105">
        <v>15</v>
      </c>
      <c r="D105" t="s">
        <v>37</v>
      </c>
      <c r="E105" t="s">
        <v>38</v>
      </c>
      <c r="F105" t="s">
        <v>49</v>
      </c>
      <c r="G105" t="s">
        <v>40</v>
      </c>
      <c r="H105">
        <v>3</v>
      </c>
      <c r="I105">
        <v>2</v>
      </c>
      <c r="J105" t="s">
        <v>54</v>
      </c>
      <c r="K105" t="s">
        <v>51</v>
      </c>
      <c r="L105">
        <v>2</v>
      </c>
      <c r="M105">
        <v>2</v>
      </c>
      <c r="N105" t="s">
        <v>43</v>
      </c>
      <c r="O105" t="s">
        <v>43</v>
      </c>
      <c r="P105" t="s">
        <v>43</v>
      </c>
      <c r="Q105" t="s">
        <v>44</v>
      </c>
      <c r="R105" t="s">
        <v>43</v>
      </c>
      <c r="S105" t="s">
        <v>44</v>
      </c>
      <c r="T105">
        <v>3</v>
      </c>
      <c r="U105">
        <v>5</v>
      </c>
      <c r="V105">
        <v>1</v>
      </c>
      <c r="W105">
        <v>1</v>
      </c>
      <c r="X105">
        <v>2</v>
      </c>
      <c r="Y105">
        <v>0</v>
      </c>
      <c r="Z105">
        <v>26</v>
      </c>
      <c r="AA105">
        <v>7</v>
      </c>
      <c r="AB105">
        <v>6</v>
      </c>
      <c r="AC105">
        <v>6</v>
      </c>
      <c r="AD105" t="s">
        <v>45</v>
      </c>
      <c r="AE105" t="s">
        <v>45</v>
      </c>
      <c r="AF105" t="s">
        <v>62</v>
      </c>
      <c r="AG105" t="s">
        <v>47</v>
      </c>
      <c r="AH105">
        <v>-1</v>
      </c>
      <c r="AI105" t="s">
        <v>60</v>
      </c>
    </row>
    <row r="106" spans="1:35" x14ac:dyDescent="0.25">
      <c r="A106" t="s">
        <v>35</v>
      </c>
      <c r="B106" t="s">
        <v>59</v>
      </c>
      <c r="C106">
        <v>15</v>
      </c>
      <c r="D106" t="s">
        <v>37</v>
      </c>
      <c r="E106" t="s">
        <v>38</v>
      </c>
      <c r="F106" t="s">
        <v>39</v>
      </c>
      <c r="G106" t="s">
        <v>40</v>
      </c>
      <c r="H106">
        <v>3</v>
      </c>
      <c r="I106">
        <v>4</v>
      </c>
      <c r="J106" t="s">
        <v>54</v>
      </c>
      <c r="K106" t="s">
        <v>51</v>
      </c>
      <c r="L106">
        <v>2</v>
      </c>
      <c r="M106">
        <v>1</v>
      </c>
      <c r="N106" t="s">
        <v>44</v>
      </c>
      <c r="O106" t="s">
        <v>43</v>
      </c>
      <c r="P106" t="s">
        <v>43</v>
      </c>
      <c r="Q106" t="s">
        <v>43</v>
      </c>
      <c r="R106" t="s">
        <v>43</v>
      </c>
      <c r="S106" t="s">
        <v>44</v>
      </c>
      <c r="T106">
        <v>4</v>
      </c>
      <c r="U106">
        <v>4</v>
      </c>
      <c r="V106">
        <v>1</v>
      </c>
      <c r="W106">
        <v>1</v>
      </c>
      <c r="X106">
        <v>1</v>
      </c>
      <c r="Y106">
        <v>0</v>
      </c>
      <c r="Z106">
        <v>0</v>
      </c>
      <c r="AA106">
        <v>16</v>
      </c>
      <c r="AB106">
        <v>18</v>
      </c>
      <c r="AC106">
        <v>18</v>
      </c>
      <c r="AD106" t="s">
        <v>55</v>
      </c>
      <c r="AE106" t="s">
        <v>56</v>
      </c>
      <c r="AF106" t="s">
        <v>52</v>
      </c>
      <c r="AG106" t="s">
        <v>47</v>
      </c>
      <c r="AH106">
        <v>2</v>
      </c>
      <c r="AI106" t="s">
        <v>48</v>
      </c>
    </row>
    <row r="107" spans="1:35" x14ac:dyDescent="0.25">
      <c r="A107" t="s">
        <v>35</v>
      </c>
      <c r="B107" t="s">
        <v>36</v>
      </c>
      <c r="C107">
        <v>15</v>
      </c>
      <c r="D107" t="s">
        <v>37</v>
      </c>
      <c r="E107" t="s">
        <v>38</v>
      </c>
      <c r="F107" t="s">
        <v>39</v>
      </c>
      <c r="G107" t="s">
        <v>50</v>
      </c>
      <c r="H107">
        <v>3</v>
      </c>
      <c r="I107">
        <v>3</v>
      </c>
      <c r="J107" t="s">
        <v>51</v>
      </c>
      <c r="K107" t="s">
        <v>23</v>
      </c>
      <c r="L107">
        <v>4</v>
      </c>
      <c r="M107">
        <v>1</v>
      </c>
      <c r="N107" t="s">
        <v>43</v>
      </c>
      <c r="O107" t="s">
        <v>44</v>
      </c>
      <c r="P107" t="s">
        <v>44</v>
      </c>
      <c r="Q107" t="s">
        <v>44</v>
      </c>
      <c r="R107" t="s">
        <v>44</v>
      </c>
      <c r="S107" t="s">
        <v>44</v>
      </c>
      <c r="T107">
        <v>3</v>
      </c>
      <c r="U107">
        <v>3</v>
      </c>
      <c r="V107">
        <v>1</v>
      </c>
      <c r="W107">
        <v>1</v>
      </c>
      <c r="X107">
        <v>4</v>
      </c>
      <c r="Y107">
        <v>0</v>
      </c>
      <c r="Z107">
        <v>10</v>
      </c>
      <c r="AA107">
        <v>10</v>
      </c>
      <c r="AB107">
        <v>11</v>
      </c>
      <c r="AC107">
        <v>11</v>
      </c>
      <c r="AD107" t="s">
        <v>46</v>
      </c>
      <c r="AE107" t="s">
        <v>56</v>
      </c>
      <c r="AF107" t="s">
        <v>46</v>
      </c>
      <c r="AG107" t="s">
        <v>64</v>
      </c>
      <c r="AH107">
        <v>1</v>
      </c>
      <c r="AI107" t="s">
        <v>48</v>
      </c>
    </row>
    <row r="108" spans="1:35" x14ac:dyDescent="0.25">
      <c r="A108" t="s">
        <v>35</v>
      </c>
      <c r="B108" t="s">
        <v>36</v>
      </c>
      <c r="C108">
        <v>15</v>
      </c>
      <c r="D108" t="s">
        <v>37</v>
      </c>
      <c r="E108" t="s">
        <v>38</v>
      </c>
      <c r="F108" t="s">
        <v>49</v>
      </c>
      <c r="G108" t="s">
        <v>40</v>
      </c>
      <c r="H108">
        <v>2</v>
      </c>
      <c r="I108">
        <v>2</v>
      </c>
      <c r="J108" t="s">
        <v>51</v>
      </c>
      <c r="K108" t="s">
        <v>51</v>
      </c>
      <c r="L108">
        <v>4</v>
      </c>
      <c r="M108">
        <v>1</v>
      </c>
      <c r="N108" t="s">
        <v>43</v>
      </c>
      <c r="O108" t="s">
        <v>43</v>
      </c>
      <c r="P108" t="s">
        <v>43</v>
      </c>
      <c r="Q108" t="s">
        <v>44</v>
      </c>
      <c r="R108" t="s">
        <v>43</v>
      </c>
      <c r="S108" t="s">
        <v>44</v>
      </c>
      <c r="T108">
        <v>1</v>
      </c>
      <c r="U108">
        <v>2</v>
      </c>
      <c r="V108">
        <v>1</v>
      </c>
      <c r="W108">
        <v>1</v>
      </c>
      <c r="X108">
        <v>3</v>
      </c>
      <c r="Y108">
        <v>0</v>
      </c>
      <c r="Z108">
        <v>8</v>
      </c>
      <c r="AA108">
        <v>7</v>
      </c>
      <c r="AB108">
        <v>8</v>
      </c>
      <c r="AC108">
        <v>8</v>
      </c>
      <c r="AD108" t="s">
        <v>45</v>
      </c>
      <c r="AE108" t="s">
        <v>45</v>
      </c>
      <c r="AF108" t="s">
        <v>46</v>
      </c>
      <c r="AG108" t="s">
        <v>64</v>
      </c>
      <c r="AH108">
        <v>1</v>
      </c>
      <c r="AI108" t="s">
        <v>48</v>
      </c>
    </row>
    <row r="109" spans="1:35" x14ac:dyDescent="0.25">
      <c r="A109" t="s">
        <v>35</v>
      </c>
      <c r="B109" t="s">
        <v>59</v>
      </c>
      <c r="C109">
        <v>16</v>
      </c>
      <c r="D109" t="s">
        <v>37</v>
      </c>
      <c r="E109" t="s">
        <v>38</v>
      </c>
      <c r="F109" t="s">
        <v>49</v>
      </c>
      <c r="G109" t="s">
        <v>50</v>
      </c>
      <c r="H109">
        <v>3</v>
      </c>
      <c r="I109">
        <v>3</v>
      </c>
      <c r="J109" t="s">
        <v>54</v>
      </c>
      <c r="K109" t="s">
        <v>51</v>
      </c>
      <c r="L109">
        <v>3</v>
      </c>
      <c r="M109">
        <v>1</v>
      </c>
      <c r="N109" t="s">
        <v>44</v>
      </c>
      <c r="O109" t="s">
        <v>43</v>
      </c>
      <c r="P109" t="s">
        <v>44</v>
      </c>
      <c r="Q109" t="s">
        <v>43</v>
      </c>
      <c r="R109" t="s">
        <v>43</v>
      </c>
      <c r="S109" t="s">
        <v>44</v>
      </c>
      <c r="T109">
        <v>3</v>
      </c>
      <c r="U109">
        <v>3</v>
      </c>
      <c r="V109">
        <v>1</v>
      </c>
      <c r="W109">
        <v>1</v>
      </c>
      <c r="X109">
        <v>5</v>
      </c>
      <c r="Y109">
        <v>0</v>
      </c>
      <c r="Z109">
        <v>2</v>
      </c>
      <c r="AA109">
        <v>16</v>
      </c>
      <c r="AB109">
        <v>18</v>
      </c>
      <c r="AC109">
        <v>18</v>
      </c>
      <c r="AD109" t="s">
        <v>55</v>
      </c>
      <c r="AE109" t="s">
        <v>56</v>
      </c>
      <c r="AF109" t="s">
        <v>52</v>
      </c>
      <c r="AG109" t="s">
        <v>57</v>
      </c>
      <c r="AH109">
        <v>2</v>
      </c>
      <c r="AI109" t="s">
        <v>48</v>
      </c>
    </row>
    <row r="110" spans="1:35" x14ac:dyDescent="0.25">
      <c r="A110" t="s">
        <v>35</v>
      </c>
      <c r="B110" t="s">
        <v>59</v>
      </c>
      <c r="C110">
        <v>15</v>
      </c>
      <c r="D110" t="s">
        <v>63</v>
      </c>
      <c r="E110" t="s">
        <v>38</v>
      </c>
      <c r="F110" t="s">
        <v>49</v>
      </c>
      <c r="G110" t="s">
        <v>50</v>
      </c>
      <c r="H110">
        <v>4</v>
      </c>
      <c r="I110">
        <v>4</v>
      </c>
      <c r="J110" t="s">
        <v>51</v>
      </c>
      <c r="K110" t="s">
        <v>51</v>
      </c>
      <c r="L110">
        <v>4</v>
      </c>
      <c r="M110">
        <v>4</v>
      </c>
      <c r="N110" t="s">
        <v>44</v>
      </c>
      <c r="O110" t="s">
        <v>43</v>
      </c>
      <c r="P110" t="s">
        <v>43</v>
      </c>
      <c r="Q110" t="s">
        <v>43</v>
      </c>
      <c r="R110" t="s">
        <v>43</v>
      </c>
      <c r="S110" t="s">
        <v>43</v>
      </c>
      <c r="T110">
        <v>3</v>
      </c>
      <c r="U110">
        <v>5</v>
      </c>
      <c r="V110">
        <v>3</v>
      </c>
      <c r="W110">
        <v>5</v>
      </c>
      <c r="X110">
        <v>1</v>
      </c>
      <c r="Y110">
        <v>0</v>
      </c>
      <c r="Z110">
        <v>6</v>
      </c>
      <c r="AA110">
        <v>10</v>
      </c>
      <c r="AB110">
        <v>13</v>
      </c>
      <c r="AC110">
        <v>13</v>
      </c>
      <c r="AD110" t="s">
        <v>46</v>
      </c>
      <c r="AE110" t="s">
        <v>56</v>
      </c>
      <c r="AF110" t="s">
        <v>46</v>
      </c>
      <c r="AG110" t="s">
        <v>64</v>
      </c>
      <c r="AH110">
        <v>3</v>
      </c>
      <c r="AI110" t="s">
        <v>48</v>
      </c>
    </row>
    <row r="111" spans="1:35" x14ac:dyDescent="0.25">
      <c r="A111" t="s">
        <v>35</v>
      </c>
      <c r="B111" t="s">
        <v>36</v>
      </c>
      <c r="C111">
        <v>16</v>
      </c>
      <c r="D111" t="s">
        <v>37</v>
      </c>
      <c r="E111" t="s">
        <v>53</v>
      </c>
      <c r="F111" t="s">
        <v>49</v>
      </c>
      <c r="G111" t="s">
        <v>40</v>
      </c>
      <c r="H111">
        <v>4</v>
      </c>
      <c r="I111">
        <v>4</v>
      </c>
      <c r="J111" t="s">
        <v>23</v>
      </c>
      <c r="K111" t="s">
        <v>23</v>
      </c>
      <c r="L111">
        <v>3</v>
      </c>
      <c r="M111">
        <v>1</v>
      </c>
      <c r="N111" t="s">
        <v>44</v>
      </c>
      <c r="O111" t="s">
        <v>43</v>
      </c>
      <c r="P111" t="s">
        <v>43</v>
      </c>
      <c r="Q111" t="s">
        <v>43</v>
      </c>
      <c r="R111" t="s">
        <v>43</v>
      </c>
      <c r="S111" t="s">
        <v>43</v>
      </c>
      <c r="T111">
        <v>4</v>
      </c>
      <c r="U111">
        <v>5</v>
      </c>
      <c r="V111">
        <v>1</v>
      </c>
      <c r="W111">
        <v>1</v>
      </c>
      <c r="X111">
        <v>4</v>
      </c>
      <c r="Y111">
        <v>0</v>
      </c>
      <c r="Z111">
        <v>4</v>
      </c>
      <c r="AA111">
        <v>14</v>
      </c>
      <c r="AB111">
        <v>15</v>
      </c>
      <c r="AC111">
        <v>16</v>
      </c>
      <c r="AD111" t="s">
        <v>55</v>
      </c>
      <c r="AE111" t="s">
        <v>56</v>
      </c>
      <c r="AF111" t="s">
        <v>52</v>
      </c>
      <c r="AG111" t="s">
        <v>57</v>
      </c>
      <c r="AH111">
        <v>2</v>
      </c>
      <c r="AI111" t="s">
        <v>48</v>
      </c>
    </row>
    <row r="112" spans="1:35" x14ac:dyDescent="0.25">
      <c r="A112" t="s">
        <v>35</v>
      </c>
      <c r="B112" t="s">
        <v>59</v>
      </c>
      <c r="C112">
        <v>15</v>
      </c>
      <c r="D112" t="s">
        <v>37</v>
      </c>
      <c r="E112" t="s">
        <v>53</v>
      </c>
      <c r="F112" t="s">
        <v>39</v>
      </c>
      <c r="G112" t="s">
        <v>40</v>
      </c>
      <c r="H112">
        <v>4</v>
      </c>
      <c r="I112">
        <v>4</v>
      </c>
      <c r="J112" t="s">
        <v>42</v>
      </c>
      <c r="K112" t="s">
        <v>42</v>
      </c>
      <c r="L112">
        <v>1</v>
      </c>
      <c r="M112">
        <v>1</v>
      </c>
      <c r="N112" t="s">
        <v>44</v>
      </c>
      <c r="O112" t="s">
        <v>44</v>
      </c>
      <c r="P112" t="s">
        <v>44</v>
      </c>
      <c r="Q112" t="s">
        <v>43</v>
      </c>
      <c r="R112" t="s">
        <v>43</v>
      </c>
      <c r="S112" t="s">
        <v>44</v>
      </c>
      <c r="T112">
        <v>5</v>
      </c>
      <c r="U112">
        <v>3</v>
      </c>
      <c r="V112">
        <v>1</v>
      </c>
      <c r="W112">
        <v>1</v>
      </c>
      <c r="X112">
        <v>4</v>
      </c>
      <c r="Y112">
        <v>0</v>
      </c>
      <c r="Z112">
        <v>6</v>
      </c>
      <c r="AA112">
        <v>18</v>
      </c>
      <c r="AB112">
        <v>19</v>
      </c>
      <c r="AC112">
        <v>19</v>
      </c>
      <c r="AD112" t="s">
        <v>55</v>
      </c>
      <c r="AE112" t="s">
        <v>56</v>
      </c>
      <c r="AF112" t="s">
        <v>46</v>
      </c>
      <c r="AG112" t="s">
        <v>61</v>
      </c>
      <c r="AH112">
        <v>1</v>
      </c>
      <c r="AI112" t="s">
        <v>48</v>
      </c>
    </row>
    <row r="113" spans="1:35" x14ac:dyDescent="0.25">
      <c r="A113" t="s">
        <v>35</v>
      </c>
      <c r="B113" t="s">
        <v>36</v>
      </c>
      <c r="C113">
        <v>16</v>
      </c>
      <c r="D113" t="s">
        <v>63</v>
      </c>
      <c r="E113" t="s">
        <v>38</v>
      </c>
      <c r="F113" t="s">
        <v>49</v>
      </c>
      <c r="G113" t="s">
        <v>50</v>
      </c>
      <c r="H113">
        <v>3</v>
      </c>
      <c r="I113">
        <v>3</v>
      </c>
      <c r="J113" t="s">
        <v>54</v>
      </c>
      <c r="K113" t="s">
        <v>51</v>
      </c>
      <c r="L113">
        <v>3</v>
      </c>
      <c r="M113">
        <v>1</v>
      </c>
      <c r="N113" t="s">
        <v>43</v>
      </c>
      <c r="O113" t="s">
        <v>43</v>
      </c>
      <c r="P113" t="s">
        <v>44</v>
      </c>
      <c r="Q113" t="s">
        <v>43</v>
      </c>
      <c r="R113" t="s">
        <v>43</v>
      </c>
      <c r="S113" t="s">
        <v>44</v>
      </c>
      <c r="T113">
        <v>1</v>
      </c>
      <c r="U113">
        <v>2</v>
      </c>
      <c r="V113">
        <v>1</v>
      </c>
      <c r="W113">
        <v>1</v>
      </c>
      <c r="X113">
        <v>2</v>
      </c>
      <c r="Y113">
        <v>1</v>
      </c>
      <c r="Z113">
        <v>0</v>
      </c>
      <c r="AA113">
        <v>7</v>
      </c>
      <c r="AB113">
        <v>10</v>
      </c>
      <c r="AC113">
        <v>10</v>
      </c>
      <c r="AD113" t="s">
        <v>46</v>
      </c>
      <c r="AE113" t="s">
        <v>45</v>
      </c>
      <c r="AF113" t="s">
        <v>52</v>
      </c>
      <c r="AG113" t="s">
        <v>57</v>
      </c>
      <c r="AH113">
        <v>3</v>
      </c>
      <c r="AI113" t="s">
        <v>48</v>
      </c>
    </row>
    <row r="114" spans="1:35" x14ac:dyDescent="0.25">
      <c r="A114" t="s">
        <v>35</v>
      </c>
      <c r="B114" t="s">
        <v>36</v>
      </c>
      <c r="C114">
        <v>16</v>
      </c>
      <c r="D114" t="s">
        <v>37</v>
      </c>
      <c r="E114" t="s">
        <v>38</v>
      </c>
      <c r="F114" t="s">
        <v>49</v>
      </c>
      <c r="G114" t="s">
        <v>40</v>
      </c>
      <c r="H114">
        <v>2</v>
      </c>
      <c r="I114">
        <v>2</v>
      </c>
      <c r="J114" t="s">
        <v>41</v>
      </c>
      <c r="K114" t="s">
        <v>51</v>
      </c>
      <c r="L114">
        <v>2</v>
      </c>
      <c r="M114">
        <v>1</v>
      </c>
      <c r="N114" t="s">
        <v>43</v>
      </c>
      <c r="O114" t="s">
        <v>44</v>
      </c>
      <c r="P114" t="s">
        <v>44</v>
      </c>
      <c r="Q114" t="s">
        <v>43</v>
      </c>
      <c r="R114" t="s">
        <v>43</v>
      </c>
      <c r="S114" t="s">
        <v>44</v>
      </c>
      <c r="T114">
        <v>1</v>
      </c>
      <c r="U114">
        <v>2</v>
      </c>
      <c r="V114">
        <v>1</v>
      </c>
      <c r="W114">
        <v>1</v>
      </c>
      <c r="X114">
        <v>5</v>
      </c>
      <c r="Y114">
        <v>1</v>
      </c>
      <c r="Z114">
        <v>6</v>
      </c>
      <c r="AA114">
        <v>10</v>
      </c>
      <c r="AB114">
        <v>13</v>
      </c>
      <c r="AC114">
        <v>13</v>
      </c>
      <c r="AD114" t="s">
        <v>46</v>
      </c>
      <c r="AE114" t="s">
        <v>45</v>
      </c>
      <c r="AF114" t="s">
        <v>46</v>
      </c>
      <c r="AG114" t="s">
        <v>47</v>
      </c>
      <c r="AH114">
        <v>3</v>
      </c>
      <c r="AI114" t="s">
        <v>48</v>
      </c>
    </row>
    <row r="115" spans="1:35" x14ac:dyDescent="0.25">
      <c r="A115" t="s">
        <v>35</v>
      </c>
      <c r="B115" t="s">
        <v>59</v>
      </c>
      <c r="C115">
        <v>15</v>
      </c>
      <c r="D115" t="s">
        <v>37</v>
      </c>
      <c r="E115" t="s">
        <v>53</v>
      </c>
      <c r="F115" t="s">
        <v>49</v>
      </c>
      <c r="G115" t="s">
        <v>40</v>
      </c>
      <c r="H115">
        <v>4</v>
      </c>
      <c r="I115">
        <v>2</v>
      </c>
      <c r="J115" t="s">
        <v>42</v>
      </c>
      <c r="K115" t="s">
        <v>51</v>
      </c>
      <c r="L115">
        <v>1</v>
      </c>
      <c r="M115">
        <v>1</v>
      </c>
      <c r="N115" t="s">
        <v>44</v>
      </c>
      <c r="O115" t="s">
        <v>44</v>
      </c>
      <c r="P115" t="s">
        <v>44</v>
      </c>
      <c r="Q115" t="s">
        <v>44</v>
      </c>
      <c r="R115" t="s">
        <v>43</v>
      </c>
      <c r="S115" t="s">
        <v>44</v>
      </c>
      <c r="T115">
        <v>5</v>
      </c>
      <c r="U115">
        <v>2</v>
      </c>
      <c r="V115">
        <v>1</v>
      </c>
      <c r="W115">
        <v>1</v>
      </c>
      <c r="X115">
        <v>3</v>
      </c>
      <c r="Y115">
        <v>0</v>
      </c>
      <c r="Z115">
        <v>10</v>
      </c>
      <c r="AA115">
        <v>18</v>
      </c>
      <c r="AB115">
        <v>19</v>
      </c>
      <c r="AC115">
        <v>19</v>
      </c>
      <c r="AD115" t="s">
        <v>55</v>
      </c>
      <c r="AE115" t="s">
        <v>56</v>
      </c>
      <c r="AF115" t="s">
        <v>46</v>
      </c>
      <c r="AG115" t="s">
        <v>61</v>
      </c>
      <c r="AH115">
        <v>1</v>
      </c>
      <c r="AI115" t="s">
        <v>48</v>
      </c>
    </row>
    <row r="116" spans="1:35" x14ac:dyDescent="0.25">
      <c r="A116" t="s">
        <v>35</v>
      </c>
      <c r="B116" t="s">
        <v>59</v>
      </c>
      <c r="C116">
        <v>15</v>
      </c>
      <c r="D116" t="s">
        <v>63</v>
      </c>
      <c r="E116" t="s">
        <v>38</v>
      </c>
      <c r="F116" t="s">
        <v>49</v>
      </c>
      <c r="G116" t="s">
        <v>40</v>
      </c>
      <c r="H116">
        <v>2</v>
      </c>
      <c r="I116">
        <v>1</v>
      </c>
      <c r="J116" t="s">
        <v>23</v>
      </c>
      <c r="K116" t="s">
        <v>54</v>
      </c>
      <c r="L116">
        <v>2</v>
      </c>
      <c r="M116">
        <v>1</v>
      </c>
      <c r="N116" t="s">
        <v>44</v>
      </c>
      <c r="O116" t="s">
        <v>44</v>
      </c>
      <c r="P116" t="s">
        <v>44</v>
      </c>
      <c r="Q116" t="s">
        <v>43</v>
      </c>
      <c r="R116" t="s">
        <v>43</v>
      </c>
      <c r="S116" t="s">
        <v>43</v>
      </c>
      <c r="T116">
        <v>4</v>
      </c>
      <c r="U116">
        <v>2</v>
      </c>
      <c r="V116">
        <v>1</v>
      </c>
      <c r="W116">
        <v>1</v>
      </c>
      <c r="X116">
        <v>5</v>
      </c>
      <c r="Y116">
        <v>0</v>
      </c>
      <c r="Z116">
        <v>8</v>
      </c>
      <c r="AA116">
        <v>9</v>
      </c>
      <c r="AB116">
        <v>9</v>
      </c>
      <c r="AC116">
        <v>9</v>
      </c>
      <c r="AD116" t="s">
        <v>45</v>
      </c>
      <c r="AE116" t="s">
        <v>45</v>
      </c>
      <c r="AF116" t="s">
        <v>46</v>
      </c>
      <c r="AG116" t="s">
        <v>47</v>
      </c>
      <c r="AH116">
        <v>0</v>
      </c>
      <c r="AI116" t="s">
        <v>58</v>
      </c>
    </row>
    <row r="117" spans="1:35" x14ac:dyDescent="0.25">
      <c r="A117" t="s">
        <v>35</v>
      </c>
      <c r="B117" t="s">
        <v>59</v>
      </c>
      <c r="C117">
        <v>16</v>
      </c>
      <c r="D117" t="s">
        <v>37</v>
      </c>
      <c r="E117" t="s">
        <v>38</v>
      </c>
      <c r="F117" t="s">
        <v>49</v>
      </c>
      <c r="G117" t="s">
        <v>50</v>
      </c>
      <c r="H117">
        <v>4</v>
      </c>
      <c r="I117">
        <v>4</v>
      </c>
      <c r="J117" t="s">
        <v>42</v>
      </c>
      <c r="K117" t="s">
        <v>42</v>
      </c>
      <c r="L117">
        <v>2</v>
      </c>
      <c r="M117">
        <v>1</v>
      </c>
      <c r="N117" t="s">
        <v>44</v>
      </c>
      <c r="O117" t="s">
        <v>43</v>
      </c>
      <c r="P117" t="s">
        <v>44</v>
      </c>
      <c r="Q117" t="s">
        <v>43</v>
      </c>
      <c r="R117" t="s">
        <v>43</v>
      </c>
      <c r="S117" t="s">
        <v>44</v>
      </c>
      <c r="T117">
        <v>4</v>
      </c>
      <c r="U117">
        <v>4</v>
      </c>
      <c r="V117">
        <v>1</v>
      </c>
      <c r="W117">
        <v>2</v>
      </c>
      <c r="X117">
        <v>5</v>
      </c>
      <c r="Y117">
        <v>0</v>
      </c>
      <c r="Z117">
        <v>2</v>
      </c>
      <c r="AA117">
        <v>15</v>
      </c>
      <c r="AB117">
        <v>15</v>
      </c>
      <c r="AC117">
        <v>16</v>
      </c>
      <c r="AD117" t="s">
        <v>55</v>
      </c>
      <c r="AE117" t="s">
        <v>56</v>
      </c>
      <c r="AF117" t="s">
        <v>52</v>
      </c>
      <c r="AG117" t="s">
        <v>47</v>
      </c>
      <c r="AH117">
        <v>1</v>
      </c>
      <c r="AI117" t="s">
        <v>48</v>
      </c>
    </row>
    <row r="118" spans="1:35" x14ac:dyDescent="0.25">
      <c r="A118" t="s">
        <v>35</v>
      </c>
      <c r="B118" t="s">
        <v>59</v>
      </c>
      <c r="C118">
        <v>15</v>
      </c>
      <c r="D118" t="s">
        <v>37</v>
      </c>
      <c r="E118" t="s">
        <v>38</v>
      </c>
      <c r="F118" t="s">
        <v>49</v>
      </c>
      <c r="G118" t="s">
        <v>50</v>
      </c>
      <c r="H118">
        <v>4</v>
      </c>
      <c r="I118">
        <v>4</v>
      </c>
      <c r="J118" t="s">
        <v>51</v>
      </c>
      <c r="K118" t="s">
        <v>42</v>
      </c>
      <c r="L118">
        <v>2</v>
      </c>
      <c r="M118">
        <v>2</v>
      </c>
      <c r="N118" t="s">
        <v>44</v>
      </c>
      <c r="O118" t="s">
        <v>43</v>
      </c>
      <c r="P118" t="s">
        <v>44</v>
      </c>
      <c r="Q118" t="s">
        <v>43</v>
      </c>
      <c r="R118" t="s">
        <v>44</v>
      </c>
      <c r="S118" t="s">
        <v>44</v>
      </c>
      <c r="T118">
        <v>4</v>
      </c>
      <c r="U118">
        <v>3</v>
      </c>
      <c r="V118">
        <v>1</v>
      </c>
      <c r="W118">
        <v>1</v>
      </c>
      <c r="X118">
        <v>2</v>
      </c>
      <c r="Y118">
        <v>0</v>
      </c>
      <c r="Z118">
        <v>2</v>
      </c>
      <c r="AA118">
        <v>11</v>
      </c>
      <c r="AB118">
        <v>13</v>
      </c>
      <c r="AC118">
        <v>14</v>
      </c>
      <c r="AD118" t="s">
        <v>55</v>
      </c>
      <c r="AE118" t="s">
        <v>56</v>
      </c>
      <c r="AF118" t="s">
        <v>52</v>
      </c>
      <c r="AG118" t="s">
        <v>47</v>
      </c>
      <c r="AH118">
        <v>3</v>
      </c>
      <c r="AI118" t="s">
        <v>48</v>
      </c>
    </row>
    <row r="119" spans="1:35" x14ac:dyDescent="0.25">
      <c r="A119" t="s">
        <v>35</v>
      </c>
      <c r="B119" t="s">
        <v>59</v>
      </c>
      <c r="C119">
        <v>16</v>
      </c>
      <c r="D119" t="s">
        <v>37</v>
      </c>
      <c r="E119" t="s">
        <v>38</v>
      </c>
      <c r="F119" t="s">
        <v>49</v>
      </c>
      <c r="G119" t="s">
        <v>50</v>
      </c>
      <c r="H119">
        <v>3</v>
      </c>
      <c r="I119">
        <v>3</v>
      </c>
      <c r="J119" t="s">
        <v>51</v>
      </c>
      <c r="K119" t="s">
        <v>54</v>
      </c>
      <c r="L119">
        <v>1</v>
      </c>
      <c r="M119">
        <v>2</v>
      </c>
      <c r="N119" t="s">
        <v>44</v>
      </c>
      <c r="O119" t="s">
        <v>44</v>
      </c>
      <c r="P119" t="s">
        <v>44</v>
      </c>
      <c r="Q119" t="s">
        <v>43</v>
      </c>
      <c r="R119" t="s">
        <v>43</v>
      </c>
      <c r="S119" t="s">
        <v>44</v>
      </c>
      <c r="T119">
        <v>4</v>
      </c>
      <c r="U119">
        <v>2</v>
      </c>
      <c r="V119">
        <v>1</v>
      </c>
      <c r="W119">
        <v>1</v>
      </c>
      <c r="X119">
        <v>5</v>
      </c>
      <c r="Y119">
        <v>0</v>
      </c>
      <c r="Z119">
        <v>0</v>
      </c>
      <c r="AA119">
        <v>13</v>
      </c>
      <c r="AB119">
        <v>14</v>
      </c>
      <c r="AC119">
        <v>13</v>
      </c>
      <c r="AD119" t="s">
        <v>46</v>
      </c>
      <c r="AE119" t="s">
        <v>56</v>
      </c>
      <c r="AF119" t="s">
        <v>52</v>
      </c>
      <c r="AG119" t="s">
        <v>61</v>
      </c>
      <c r="AH119">
        <v>0</v>
      </c>
      <c r="AI119" t="s">
        <v>58</v>
      </c>
    </row>
    <row r="120" spans="1:35" x14ac:dyDescent="0.25">
      <c r="A120" t="s">
        <v>35</v>
      </c>
      <c r="B120" t="s">
        <v>59</v>
      </c>
      <c r="C120">
        <v>17</v>
      </c>
      <c r="D120" t="s">
        <v>63</v>
      </c>
      <c r="E120" t="s">
        <v>38</v>
      </c>
      <c r="F120" t="s">
        <v>49</v>
      </c>
      <c r="G120" t="s">
        <v>50</v>
      </c>
      <c r="H120">
        <v>1</v>
      </c>
      <c r="I120">
        <v>3</v>
      </c>
      <c r="J120" t="s">
        <v>51</v>
      </c>
      <c r="K120" t="s">
        <v>51</v>
      </c>
      <c r="L120">
        <v>2</v>
      </c>
      <c r="M120">
        <v>3</v>
      </c>
      <c r="N120" t="s">
        <v>44</v>
      </c>
      <c r="O120" t="s">
        <v>43</v>
      </c>
      <c r="P120" t="s">
        <v>44</v>
      </c>
      <c r="Q120" t="s">
        <v>43</v>
      </c>
      <c r="R120" t="s">
        <v>43</v>
      </c>
      <c r="S120" t="s">
        <v>44</v>
      </c>
      <c r="T120">
        <v>2</v>
      </c>
      <c r="U120">
        <v>4</v>
      </c>
      <c r="V120">
        <v>1</v>
      </c>
      <c r="W120">
        <v>4</v>
      </c>
      <c r="X120">
        <v>5</v>
      </c>
      <c r="Y120">
        <v>1</v>
      </c>
      <c r="Z120">
        <v>20</v>
      </c>
      <c r="AA120">
        <v>9</v>
      </c>
      <c r="AB120">
        <v>7</v>
      </c>
      <c r="AC120">
        <v>8</v>
      </c>
      <c r="AD120" t="s">
        <v>45</v>
      </c>
      <c r="AE120" t="s">
        <v>45</v>
      </c>
      <c r="AF120" t="s">
        <v>62</v>
      </c>
      <c r="AG120" t="s">
        <v>47</v>
      </c>
      <c r="AH120">
        <v>-1</v>
      </c>
      <c r="AI120" t="s">
        <v>60</v>
      </c>
    </row>
    <row r="121" spans="1:35" x14ac:dyDescent="0.25">
      <c r="A121" t="s">
        <v>35</v>
      </c>
      <c r="B121" t="s">
        <v>59</v>
      </c>
      <c r="C121">
        <v>15</v>
      </c>
      <c r="D121" t="s">
        <v>37</v>
      </c>
      <c r="E121" t="s">
        <v>38</v>
      </c>
      <c r="F121" t="s">
        <v>49</v>
      </c>
      <c r="G121" t="s">
        <v>50</v>
      </c>
      <c r="H121">
        <v>3</v>
      </c>
      <c r="I121">
        <v>4</v>
      </c>
      <c r="J121" t="s">
        <v>51</v>
      </c>
      <c r="K121" t="s">
        <v>51</v>
      </c>
      <c r="L121">
        <v>1</v>
      </c>
      <c r="M121">
        <v>1</v>
      </c>
      <c r="N121" t="s">
        <v>44</v>
      </c>
      <c r="O121" t="s">
        <v>44</v>
      </c>
      <c r="P121" t="s">
        <v>44</v>
      </c>
      <c r="Q121" t="s">
        <v>44</v>
      </c>
      <c r="R121" t="s">
        <v>43</v>
      </c>
      <c r="S121" t="s">
        <v>44</v>
      </c>
      <c r="T121">
        <v>4</v>
      </c>
      <c r="U121">
        <v>3</v>
      </c>
      <c r="V121">
        <v>1</v>
      </c>
      <c r="W121">
        <v>2</v>
      </c>
      <c r="X121">
        <v>4</v>
      </c>
      <c r="Y121">
        <v>0</v>
      </c>
      <c r="Z121">
        <v>6</v>
      </c>
      <c r="AA121">
        <v>14</v>
      </c>
      <c r="AB121">
        <v>13</v>
      </c>
      <c r="AC121">
        <v>13</v>
      </c>
      <c r="AD121" t="s">
        <v>46</v>
      </c>
      <c r="AE121" t="s">
        <v>56</v>
      </c>
      <c r="AF121" t="s">
        <v>46</v>
      </c>
      <c r="AG121" t="s">
        <v>61</v>
      </c>
      <c r="AH121">
        <v>-1</v>
      </c>
      <c r="AI121" t="s">
        <v>60</v>
      </c>
    </row>
    <row r="122" spans="1:35" x14ac:dyDescent="0.25">
      <c r="A122" t="s">
        <v>35</v>
      </c>
      <c r="B122" t="s">
        <v>36</v>
      </c>
      <c r="C122">
        <v>15</v>
      </c>
      <c r="D122" t="s">
        <v>37</v>
      </c>
      <c r="E122" t="s">
        <v>38</v>
      </c>
      <c r="F122" t="s">
        <v>49</v>
      </c>
      <c r="G122" t="s">
        <v>40</v>
      </c>
      <c r="H122">
        <v>1</v>
      </c>
      <c r="I122">
        <v>2</v>
      </c>
      <c r="J122" t="s">
        <v>41</v>
      </c>
      <c r="K122" t="s">
        <v>54</v>
      </c>
      <c r="L122">
        <v>2</v>
      </c>
      <c r="M122">
        <v>1</v>
      </c>
      <c r="N122" t="s">
        <v>44</v>
      </c>
      <c r="O122" t="s">
        <v>44</v>
      </c>
      <c r="P122" t="s">
        <v>44</v>
      </c>
      <c r="Q122" t="s">
        <v>44</v>
      </c>
      <c r="R122" t="s">
        <v>43</v>
      </c>
      <c r="S122" t="s">
        <v>44</v>
      </c>
      <c r="T122">
        <v>2</v>
      </c>
      <c r="U122">
        <v>3</v>
      </c>
      <c r="V122">
        <v>1</v>
      </c>
      <c r="W122">
        <v>2</v>
      </c>
      <c r="X122">
        <v>1</v>
      </c>
      <c r="Y122">
        <v>0</v>
      </c>
      <c r="Z122">
        <v>2</v>
      </c>
      <c r="AA122">
        <v>16</v>
      </c>
      <c r="AB122">
        <v>15</v>
      </c>
      <c r="AC122">
        <v>15</v>
      </c>
      <c r="AD122" t="s">
        <v>55</v>
      </c>
      <c r="AE122" t="s">
        <v>56</v>
      </c>
      <c r="AF122" t="s">
        <v>52</v>
      </c>
      <c r="AG122" t="s">
        <v>47</v>
      </c>
      <c r="AH122">
        <v>-1</v>
      </c>
      <c r="AI122" t="s">
        <v>60</v>
      </c>
    </row>
    <row r="123" spans="1:35" x14ac:dyDescent="0.25">
      <c r="A123" t="s">
        <v>35</v>
      </c>
      <c r="B123" t="s">
        <v>59</v>
      </c>
      <c r="C123">
        <v>15</v>
      </c>
      <c r="D123" t="s">
        <v>37</v>
      </c>
      <c r="E123" t="s">
        <v>38</v>
      </c>
      <c r="F123" t="s">
        <v>49</v>
      </c>
      <c r="G123" t="s">
        <v>50</v>
      </c>
      <c r="H123">
        <v>2</v>
      </c>
      <c r="I123">
        <v>2</v>
      </c>
      <c r="J123" t="s">
        <v>54</v>
      </c>
      <c r="K123" t="s">
        <v>54</v>
      </c>
      <c r="L123">
        <v>4</v>
      </c>
      <c r="M123">
        <v>1</v>
      </c>
      <c r="N123" t="s">
        <v>44</v>
      </c>
      <c r="O123" t="s">
        <v>43</v>
      </c>
      <c r="P123" t="s">
        <v>43</v>
      </c>
      <c r="Q123" t="s">
        <v>43</v>
      </c>
      <c r="R123" t="s">
        <v>43</v>
      </c>
      <c r="S123" t="s">
        <v>44</v>
      </c>
      <c r="T123">
        <v>5</v>
      </c>
      <c r="U123">
        <v>4</v>
      </c>
      <c r="V123">
        <v>1</v>
      </c>
      <c r="W123">
        <v>2</v>
      </c>
      <c r="X123">
        <v>5</v>
      </c>
      <c r="Y123">
        <v>0</v>
      </c>
      <c r="Z123">
        <v>6</v>
      </c>
      <c r="AA123">
        <v>16</v>
      </c>
      <c r="AB123">
        <v>14</v>
      </c>
      <c r="AC123">
        <v>15</v>
      </c>
      <c r="AD123" t="s">
        <v>55</v>
      </c>
      <c r="AE123" t="s">
        <v>56</v>
      </c>
      <c r="AF123" t="s">
        <v>46</v>
      </c>
      <c r="AG123" t="s">
        <v>64</v>
      </c>
      <c r="AH123">
        <v>-1</v>
      </c>
      <c r="AI123" t="s">
        <v>60</v>
      </c>
    </row>
    <row r="124" spans="1:35" x14ac:dyDescent="0.25">
      <c r="A124" t="s">
        <v>35</v>
      </c>
      <c r="B124" t="s">
        <v>36</v>
      </c>
      <c r="C124">
        <v>16</v>
      </c>
      <c r="D124" t="s">
        <v>37</v>
      </c>
      <c r="E124" t="s">
        <v>53</v>
      </c>
      <c r="F124" t="s">
        <v>49</v>
      </c>
      <c r="G124" t="s">
        <v>50</v>
      </c>
      <c r="H124">
        <v>2</v>
      </c>
      <c r="I124">
        <v>4</v>
      </c>
      <c r="J124" t="s">
        <v>51</v>
      </c>
      <c r="K124" t="s">
        <v>23</v>
      </c>
      <c r="L124">
        <v>2</v>
      </c>
      <c r="M124">
        <v>2</v>
      </c>
      <c r="N124" t="s">
        <v>44</v>
      </c>
      <c r="O124" t="s">
        <v>43</v>
      </c>
      <c r="P124" t="s">
        <v>43</v>
      </c>
      <c r="Q124" t="s">
        <v>43</v>
      </c>
      <c r="R124" t="s">
        <v>43</v>
      </c>
      <c r="S124" t="s">
        <v>43</v>
      </c>
      <c r="T124">
        <v>2</v>
      </c>
      <c r="U124">
        <v>2</v>
      </c>
      <c r="V124">
        <v>1</v>
      </c>
      <c r="W124">
        <v>2</v>
      </c>
      <c r="X124">
        <v>5</v>
      </c>
      <c r="Y124">
        <v>0</v>
      </c>
      <c r="Z124">
        <v>2</v>
      </c>
      <c r="AA124">
        <v>13</v>
      </c>
      <c r="AB124">
        <v>13</v>
      </c>
      <c r="AC124">
        <v>13</v>
      </c>
      <c r="AD124" t="s">
        <v>46</v>
      </c>
      <c r="AE124" t="s">
        <v>56</v>
      </c>
      <c r="AF124" t="s">
        <v>52</v>
      </c>
      <c r="AG124" t="s">
        <v>47</v>
      </c>
      <c r="AH124">
        <v>0</v>
      </c>
      <c r="AI124" t="s">
        <v>58</v>
      </c>
    </row>
    <row r="125" spans="1:35" x14ac:dyDescent="0.25">
      <c r="A125" t="s">
        <v>35</v>
      </c>
      <c r="B125" t="s">
        <v>59</v>
      </c>
      <c r="C125">
        <v>16</v>
      </c>
      <c r="D125" t="s">
        <v>37</v>
      </c>
      <c r="E125" t="s">
        <v>38</v>
      </c>
      <c r="F125" t="s">
        <v>49</v>
      </c>
      <c r="G125" t="s">
        <v>40</v>
      </c>
      <c r="H125">
        <v>4</v>
      </c>
      <c r="I125">
        <v>4</v>
      </c>
      <c r="J125" t="s">
        <v>23</v>
      </c>
      <c r="K125" t="s">
        <v>51</v>
      </c>
      <c r="L125">
        <v>1</v>
      </c>
      <c r="M125">
        <v>1</v>
      </c>
      <c r="N125" t="s">
        <v>44</v>
      </c>
      <c r="O125" t="s">
        <v>43</v>
      </c>
      <c r="P125" t="s">
        <v>44</v>
      </c>
      <c r="Q125" t="s">
        <v>43</v>
      </c>
      <c r="R125" t="s">
        <v>43</v>
      </c>
      <c r="S125" t="s">
        <v>44</v>
      </c>
      <c r="T125">
        <v>4</v>
      </c>
      <c r="U125">
        <v>4</v>
      </c>
      <c r="V125">
        <v>1</v>
      </c>
      <c r="W125">
        <v>4</v>
      </c>
      <c r="X125">
        <v>5</v>
      </c>
      <c r="Y125">
        <v>0</v>
      </c>
      <c r="Z125">
        <v>18</v>
      </c>
      <c r="AA125">
        <v>14</v>
      </c>
      <c r="AB125">
        <v>11</v>
      </c>
      <c r="AC125">
        <v>13</v>
      </c>
      <c r="AD125" t="s">
        <v>46</v>
      </c>
      <c r="AE125" t="s">
        <v>45</v>
      </c>
      <c r="AF125" t="s">
        <v>62</v>
      </c>
      <c r="AG125" t="s">
        <v>61</v>
      </c>
      <c r="AH125">
        <v>-1</v>
      </c>
      <c r="AI125" t="s">
        <v>60</v>
      </c>
    </row>
    <row r="126" spans="1:35" x14ac:dyDescent="0.25">
      <c r="A126" t="s">
        <v>35</v>
      </c>
      <c r="B126" t="s">
        <v>36</v>
      </c>
      <c r="C126">
        <v>16</v>
      </c>
      <c r="D126" t="s">
        <v>37</v>
      </c>
      <c r="E126" t="s">
        <v>38</v>
      </c>
      <c r="F126" t="s">
        <v>49</v>
      </c>
      <c r="G126" t="s">
        <v>40</v>
      </c>
      <c r="H126">
        <v>2</v>
      </c>
      <c r="I126">
        <v>2</v>
      </c>
      <c r="J126" t="s">
        <v>51</v>
      </c>
      <c r="K126" t="s">
        <v>51</v>
      </c>
      <c r="L126">
        <v>2</v>
      </c>
      <c r="M126">
        <v>1</v>
      </c>
      <c r="N126" t="s">
        <v>44</v>
      </c>
      <c r="O126" t="s">
        <v>44</v>
      </c>
      <c r="P126" t="s">
        <v>43</v>
      </c>
      <c r="Q126" t="s">
        <v>44</v>
      </c>
      <c r="R126" t="s">
        <v>43</v>
      </c>
      <c r="S126" t="s">
        <v>43</v>
      </c>
      <c r="T126">
        <v>4</v>
      </c>
      <c r="U126">
        <v>4</v>
      </c>
      <c r="V126">
        <v>1</v>
      </c>
      <c r="W126">
        <v>1</v>
      </c>
      <c r="X126">
        <v>5</v>
      </c>
      <c r="Y126">
        <v>0</v>
      </c>
      <c r="Z126">
        <v>0</v>
      </c>
      <c r="AA126">
        <v>8</v>
      </c>
      <c r="AB126">
        <v>7</v>
      </c>
      <c r="AC126">
        <v>8</v>
      </c>
      <c r="AD126" t="s">
        <v>45</v>
      </c>
      <c r="AE126" t="s">
        <v>45</v>
      </c>
      <c r="AF126" t="s">
        <v>52</v>
      </c>
      <c r="AG126" t="s">
        <v>47</v>
      </c>
      <c r="AH126">
        <v>0</v>
      </c>
      <c r="AI126" t="s">
        <v>58</v>
      </c>
    </row>
    <row r="127" spans="1:35" x14ac:dyDescent="0.25">
      <c r="A127" t="s">
        <v>35</v>
      </c>
      <c r="B127" t="s">
        <v>59</v>
      </c>
      <c r="C127">
        <v>15</v>
      </c>
      <c r="D127" t="s">
        <v>37</v>
      </c>
      <c r="E127" t="s">
        <v>38</v>
      </c>
      <c r="F127" t="s">
        <v>49</v>
      </c>
      <c r="G127" t="s">
        <v>50</v>
      </c>
      <c r="H127">
        <v>3</v>
      </c>
      <c r="I127">
        <v>4</v>
      </c>
      <c r="J127" t="s">
        <v>54</v>
      </c>
      <c r="K127" t="s">
        <v>54</v>
      </c>
      <c r="L127">
        <v>1</v>
      </c>
      <c r="M127">
        <v>1</v>
      </c>
      <c r="N127" t="s">
        <v>43</v>
      </c>
      <c r="O127" t="s">
        <v>44</v>
      </c>
      <c r="P127" t="s">
        <v>44</v>
      </c>
      <c r="Q127" t="s">
        <v>44</v>
      </c>
      <c r="R127" t="s">
        <v>43</v>
      </c>
      <c r="S127" t="s">
        <v>44</v>
      </c>
      <c r="T127">
        <v>5</v>
      </c>
      <c r="U127">
        <v>5</v>
      </c>
      <c r="V127">
        <v>3</v>
      </c>
      <c r="W127">
        <v>2</v>
      </c>
      <c r="X127">
        <v>5</v>
      </c>
      <c r="Y127">
        <v>0</v>
      </c>
      <c r="Z127">
        <v>0</v>
      </c>
      <c r="AA127">
        <v>13</v>
      </c>
      <c r="AB127">
        <v>13</v>
      </c>
      <c r="AC127">
        <v>12</v>
      </c>
      <c r="AD127" t="s">
        <v>46</v>
      </c>
      <c r="AE127" t="s">
        <v>56</v>
      </c>
      <c r="AF127" t="s">
        <v>52</v>
      </c>
      <c r="AG127" t="s">
        <v>61</v>
      </c>
      <c r="AH127">
        <v>-1</v>
      </c>
      <c r="AI127" t="s">
        <v>60</v>
      </c>
    </row>
    <row r="128" spans="1:35" x14ac:dyDescent="0.25">
      <c r="A128" t="s">
        <v>35</v>
      </c>
      <c r="B128" t="s">
        <v>36</v>
      </c>
      <c r="C128">
        <v>15</v>
      </c>
      <c r="D128" t="s">
        <v>37</v>
      </c>
      <c r="E128" t="s">
        <v>53</v>
      </c>
      <c r="F128" t="s">
        <v>39</v>
      </c>
      <c r="G128" t="s">
        <v>40</v>
      </c>
      <c r="H128">
        <v>3</v>
      </c>
      <c r="I128">
        <v>4</v>
      </c>
      <c r="J128" t="s">
        <v>51</v>
      </c>
      <c r="K128" t="s">
        <v>51</v>
      </c>
      <c r="L128">
        <v>2</v>
      </c>
      <c r="M128">
        <v>1</v>
      </c>
      <c r="N128" t="s">
        <v>43</v>
      </c>
      <c r="O128" t="s">
        <v>44</v>
      </c>
      <c r="P128" t="s">
        <v>44</v>
      </c>
      <c r="Q128" t="s">
        <v>43</v>
      </c>
      <c r="R128" t="s">
        <v>43</v>
      </c>
      <c r="S128" t="s">
        <v>43</v>
      </c>
      <c r="T128">
        <v>3</v>
      </c>
      <c r="U128">
        <v>2</v>
      </c>
      <c r="V128">
        <v>1</v>
      </c>
      <c r="W128">
        <v>1</v>
      </c>
      <c r="X128">
        <v>1</v>
      </c>
      <c r="Y128">
        <v>0</v>
      </c>
      <c r="Z128">
        <v>0</v>
      </c>
      <c r="AA128">
        <v>7</v>
      </c>
      <c r="AB128">
        <v>10</v>
      </c>
      <c r="AC128">
        <v>11</v>
      </c>
      <c r="AD128" t="s">
        <v>46</v>
      </c>
      <c r="AE128" t="s">
        <v>56</v>
      </c>
      <c r="AF128" t="s">
        <v>52</v>
      </c>
      <c r="AG128" t="s">
        <v>47</v>
      </c>
      <c r="AH128">
        <v>4</v>
      </c>
      <c r="AI128" t="s">
        <v>48</v>
      </c>
    </row>
    <row r="129" spans="1:35" x14ac:dyDescent="0.25">
      <c r="A129" t="s">
        <v>35</v>
      </c>
      <c r="B129" t="s">
        <v>36</v>
      </c>
      <c r="C129">
        <v>19</v>
      </c>
      <c r="D129" t="s">
        <v>37</v>
      </c>
      <c r="E129" t="s">
        <v>38</v>
      </c>
      <c r="F129" t="s">
        <v>49</v>
      </c>
      <c r="G129" t="s">
        <v>51</v>
      </c>
      <c r="H129">
        <v>0</v>
      </c>
      <c r="I129">
        <v>1</v>
      </c>
      <c r="J129" t="s">
        <v>41</v>
      </c>
      <c r="K129" t="s">
        <v>51</v>
      </c>
      <c r="L129">
        <v>2</v>
      </c>
      <c r="M129">
        <v>1</v>
      </c>
      <c r="N129" t="s">
        <v>44</v>
      </c>
      <c r="O129" t="s">
        <v>43</v>
      </c>
      <c r="P129" t="s">
        <v>44</v>
      </c>
      <c r="Q129" t="s">
        <v>44</v>
      </c>
      <c r="R129" t="s">
        <v>44</v>
      </c>
      <c r="S129" t="s">
        <v>44</v>
      </c>
      <c r="T129">
        <v>4</v>
      </c>
      <c r="U129">
        <v>2</v>
      </c>
      <c r="V129">
        <v>1</v>
      </c>
      <c r="W129">
        <v>1</v>
      </c>
      <c r="X129">
        <v>5</v>
      </c>
      <c r="Y129">
        <v>3</v>
      </c>
      <c r="Z129">
        <v>2</v>
      </c>
      <c r="AA129">
        <v>7</v>
      </c>
      <c r="AB129">
        <v>8</v>
      </c>
      <c r="AC129">
        <v>9</v>
      </c>
      <c r="AD129" t="s">
        <v>45</v>
      </c>
      <c r="AE129" t="s">
        <v>45</v>
      </c>
      <c r="AF129" t="s">
        <v>52</v>
      </c>
      <c r="AG129" t="s">
        <v>47</v>
      </c>
      <c r="AH129">
        <v>2</v>
      </c>
      <c r="AI129" t="s">
        <v>48</v>
      </c>
    </row>
    <row r="130" spans="1:35" x14ac:dyDescent="0.25">
      <c r="A130" t="s">
        <v>35</v>
      </c>
      <c r="B130" t="s">
        <v>59</v>
      </c>
      <c r="C130">
        <v>18</v>
      </c>
      <c r="D130" t="s">
        <v>63</v>
      </c>
      <c r="E130" t="s">
        <v>38</v>
      </c>
      <c r="F130" t="s">
        <v>49</v>
      </c>
      <c r="G130" t="s">
        <v>40</v>
      </c>
      <c r="H130">
        <v>2</v>
      </c>
      <c r="I130">
        <v>2</v>
      </c>
      <c r="J130" t="s">
        <v>54</v>
      </c>
      <c r="K130" t="s">
        <v>51</v>
      </c>
      <c r="L130">
        <v>1</v>
      </c>
      <c r="M130">
        <v>1</v>
      </c>
      <c r="N130" t="s">
        <v>44</v>
      </c>
      <c r="O130" t="s">
        <v>43</v>
      </c>
      <c r="P130" t="s">
        <v>44</v>
      </c>
      <c r="Q130" t="s">
        <v>43</v>
      </c>
      <c r="R130" t="s">
        <v>43</v>
      </c>
      <c r="S130" t="s">
        <v>44</v>
      </c>
      <c r="T130">
        <v>3</v>
      </c>
      <c r="U130">
        <v>3</v>
      </c>
      <c r="V130">
        <v>1</v>
      </c>
      <c r="W130">
        <v>2</v>
      </c>
      <c r="X130">
        <v>4</v>
      </c>
      <c r="Y130">
        <v>2</v>
      </c>
      <c r="Z130">
        <v>0</v>
      </c>
      <c r="AA130">
        <v>7</v>
      </c>
      <c r="AB130">
        <v>4</v>
      </c>
      <c r="AC130">
        <v>0</v>
      </c>
      <c r="AD130" t="s">
        <v>45</v>
      </c>
      <c r="AE130" t="s">
        <v>45</v>
      </c>
      <c r="AF130" t="s">
        <v>52</v>
      </c>
      <c r="AG130" t="s">
        <v>61</v>
      </c>
      <c r="AH130">
        <v>-7</v>
      </c>
      <c r="AI130" t="s">
        <v>60</v>
      </c>
    </row>
    <row r="131" spans="1:35" x14ac:dyDescent="0.25">
      <c r="A131" t="s">
        <v>35</v>
      </c>
      <c r="B131" t="s">
        <v>59</v>
      </c>
      <c r="C131">
        <v>16</v>
      </c>
      <c r="D131" t="s">
        <v>63</v>
      </c>
      <c r="E131" t="s">
        <v>38</v>
      </c>
      <c r="F131" t="s">
        <v>49</v>
      </c>
      <c r="G131" t="s">
        <v>40</v>
      </c>
      <c r="H131">
        <v>4</v>
      </c>
      <c r="I131">
        <v>4</v>
      </c>
      <c r="J131" t="s">
        <v>42</v>
      </c>
      <c r="K131" t="s">
        <v>42</v>
      </c>
      <c r="L131">
        <v>1</v>
      </c>
      <c r="M131">
        <v>1</v>
      </c>
      <c r="N131" t="s">
        <v>44</v>
      </c>
      <c r="O131" t="s">
        <v>44</v>
      </c>
      <c r="P131" t="s">
        <v>43</v>
      </c>
      <c r="Q131" t="s">
        <v>43</v>
      </c>
      <c r="R131" t="s">
        <v>43</v>
      </c>
      <c r="S131" t="s">
        <v>44</v>
      </c>
      <c r="T131">
        <v>5</v>
      </c>
      <c r="U131">
        <v>5</v>
      </c>
      <c r="V131">
        <v>2</v>
      </c>
      <c r="W131">
        <v>5</v>
      </c>
      <c r="X131">
        <v>4</v>
      </c>
      <c r="Y131">
        <v>0</v>
      </c>
      <c r="Z131">
        <v>8</v>
      </c>
      <c r="AA131">
        <v>18</v>
      </c>
      <c r="AB131">
        <v>18</v>
      </c>
      <c r="AC131">
        <v>18</v>
      </c>
      <c r="AD131" t="s">
        <v>55</v>
      </c>
      <c r="AE131" t="s">
        <v>56</v>
      </c>
      <c r="AF131" t="s">
        <v>46</v>
      </c>
      <c r="AG131" t="s">
        <v>61</v>
      </c>
      <c r="AH131">
        <v>0</v>
      </c>
      <c r="AI131" t="s">
        <v>58</v>
      </c>
    </row>
    <row r="132" spans="1:35" x14ac:dyDescent="0.25">
      <c r="A132" t="s">
        <v>35</v>
      </c>
      <c r="B132" t="s">
        <v>36</v>
      </c>
      <c r="C132">
        <v>15</v>
      </c>
      <c r="D132" t="s">
        <v>63</v>
      </c>
      <c r="E132" t="s">
        <v>38</v>
      </c>
      <c r="F132" t="s">
        <v>49</v>
      </c>
      <c r="G132" t="s">
        <v>50</v>
      </c>
      <c r="H132">
        <v>3</v>
      </c>
      <c r="I132">
        <v>4</v>
      </c>
      <c r="J132" t="s">
        <v>54</v>
      </c>
      <c r="K132" t="s">
        <v>42</v>
      </c>
      <c r="L132">
        <v>3</v>
      </c>
      <c r="M132">
        <v>2</v>
      </c>
      <c r="N132" t="s">
        <v>44</v>
      </c>
      <c r="O132" t="s">
        <v>43</v>
      </c>
      <c r="P132" t="s">
        <v>44</v>
      </c>
      <c r="Q132" t="s">
        <v>44</v>
      </c>
      <c r="R132" t="s">
        <v>43</v>
      </c>
      <c r="S132" t="s">
        <v>43</v>
      </c>
      <c r="T132">
        <v>2</v>
      </c>
      <c r="U132">
        <v>2</v>
      </c>
      <c r="V132">
        <v>2</v>
      </c>
      <c r="W132">
        <v>2</v>
      </c>
      <c r="X132">
        <v>5</v>
      </c>
      <c r="Y132">
        <v>2</v>
      </c>
      <c r="Z132">
        <v>0</v>
      </c>
      <c r="AA132">
        <v>12</v>
      </c>
      <c r="AB132">
        <v>0</v>
      </c>
      <c r="AC132">
        <v>0</v>
      </c>
      <c r="AD132" t="s">
        <v>45</v>
      </c>
      <c r="AE132" t="s">
        <v>45</v>
      </c>
      <c r="AF132" t="s">
        <v>52</v>
      </c>
      <c r="AG132" t="s">
        <v>57</v>
      </c>
      <c r="AH132">
        <v>-12</v>
      </c>
      <c r="AI132" t="s">
        <v>60</v>
      </c>
    </row>
    <row r="133" spans="1:35" x14ac:dyDescent="0.25">
      <c r="A133" t="s">
        <v>35</v>
      </c>
      <c r="B133" t="s">
        <v>36</v>
      </c>
      <c r="C133">
        <v>15</v>
      </c>
      <c r="D133" t="s">
        <v>37</v>
      </c>
      <c r="E133" t="s">
        <v>38</v>
      </c>
      <c r="F133" t="s">
        <v>49</v>
      </c>
      <c r="G133" t="s">
        <v>40</v>
      </c>
      <c r="H133">
        <v>1</v>
      </c>
      <c r="I133">
        <v>1</v>
      </c>
      <c r="J133" t="s">
        <v>41</v>
      </c>
      <c r="K133" t="s">
        <v>51</v>
      </c>
      <c r="L133">
        <v>1</v>
      </c>
      <c r="M133">
        <v>3</v>
      </c>
      <c r="N133" t="s">
        <v>44</v>
      </c>
      <c r="O133" t="s">
        <v>43</v>
      </c>
      <c r="P133" t="s">
        <v>44</v>
      </c>
      <c r="Q133" t="s">
        <v>43</v>
      </c>
      <c r="R133" t="s">
        <v>43</v>
      </c>
      <c r="S133" t="s">
        <v>43</v>
      </c>
      <c r="T133">
        <v>3</v>
      </c>
      <c r="U133">
        <v>3</v>
      </c>
      <c r="V133">
        <v>1</v>
      </c>
      <c r="W133">
        <v>2</v>
      </c>
      <c r="X133">
        <v>4</v>
      </c>
      <c r="Y133">
        <v>0</v>
      </c>
      <c r="Z133">
        <v>0</v>
      </c>
      <c r="AA133">
        <v>8</v>
      </c>
      <c r="AB133">
        <v>0</v>
      </c>
      <c r="AC133">
        <v>0</v>
      </c>
      <c r="AD133" t="s">
        <v>45</v>
      </c>
      <c r="AE133" t="s">
        <v>45</v>
      </c>
      <c r="AF133" t="s">
        <v>52</v>
      </c>
      <c r="AG133" t="s">
        <v>61</v>
      </c>
      <c r="AH133">
        <v>-8</v>
      </c>
      <c r="AI133" t="s">
        <v>60</v>
      </c>
    </row>
    <row r="134" spans="1:35" x14ac:dyDescent="0.25">
      <c r="A134" t="s">
        <v>35</v>
      </c>
      <c r="B134" t="s">
        <v>36</v>
      </c>
      <c r="C134">
        <v>17</v>
      </c>
      <c r="D134" t="s">
        <v>37</v>
      </c>
      <c r="E134" t="s">
        <v>53</v>
      </c>
      <c r="F134" t="s">
        <v>49</v>
      </c>
      <c r="G134" t="s">
        <v>50</v>
      </c>
      <c r="H134">
        <v>2</v>
      </c>
      <c r="I134">
        <v>2</v>
      </c>
      <c r="J134" t="s">
        <v>51</v>
      </c>
      <c r="K134" t="s">
        <v>51</v>
      </c>
      <c r="L134">
        <v>1</v>
      </c>
      <c r="M134">
        <v>1</v>
      </c>
      <c r="N134" t="s">
        <v>44</v>
      </c>
      <c r="O134" t="s">
        <v>43</v>
      </c>
      <c r="P134" t="s">
        <v>44</v>
      </c>
      <c r="Q134" t="s">
        <v>44</v>
      </c>
      <c r="R134" t="s">
        <v>43</v>
      </c>
      <c r="S134" t="s">
        <v>43</v>
      </c>
      <c r="T134">
        <v>4</v>
      </c>
      <c r="U134">
        <v>4</v>
      </c>
      <c r="V134">
        <v>1</v>
      </c>
      <c r="W134">
        <v>3</v>
      </c>
      <c r="X134">
        <v>5</v>
      </c>
      <c r="Y134">
        <v>0</v>
      </c>
      <c r="Z134">
        <v>12</v>
      </c>
      <c r="AA134">
        <v>10</v>
      </c>
      <c r="AB134">
        <v>13</v>
      </c>
      <c r="AC134">
        <v>12</v>
      </c>
      <c r="AD134" t="s">
        <v>46</v>
      </c>
      <c r="AE134" t="s">
        <v>45</v>
      </c>
      <c r="AF134" t="s">
        <v>46</v>
      </c>
      <c r="AG134" t="s">
        <v>61</v>
      </c>
      <c r="AH134">
        <v>2</v>
      </c>
      <c r="AI134" t="s">
        <v>48</v>
      </c>
    </row>
    <row r="135" spans="1:35" x14ac:dyDescent="0.25">
      <c r="A135" t="s">
        <v>35</v>
      </c>
      <c r="B135" t="s">
        <v>36</v>
      </c>
      <c r="C135">
        <v>16</v>
      </c>
      <c r="D135" t="s">
        <v>37</v>
      </c>
      <c r="E135" t="s">
        <v>38</v>
      </c>
      <c r="F135" t="s">
        <v>39</v>
      </c>
      <c r="G135" t="s">
        <v>50</v>
      </c>
      <c r="H135">
        <v>3</v>
      </c>
      <c r="I135">
        <v>4</v>
      </c>
      <c r="J135" t="s">
        <v>54</v>
      </c>
      <c r="K135" t="s">
        <v>51</v>
      </c>
      <c r="L135">
        <v>1</v>
      </c>
      <c r="M135">
        <v>1</v>
      </c>
      <c r="N135" t="s">
        <v>44</v>
      </c>
      <c r="O135" t="s">
        <v>44</v>
      </c>
      <c r="P135" t="s">
        <v>44</v>
      </c>
      <c r="Q135" t="s">
        <v>44</v>
      </c>
      <c r="R135" t="s">
        <v>43</v>
      </c>
      <c r="S135" t="s">
        <v>44</v>
      </c>
      <c r="T135">
        <v>2</v>
      </c>
      <c r="U135">
        <v>1</v>
      </c>
      <c r="V135">
        <v>1</v>
      </c>
      <c r="W135">
        <v>4</v>
      </c>
      <c r="X135">
        <v>5</v>
      </c>
      <c r="Y135">
        <v>0</v>
      </c>
      <c r="Z135">
        <v>16</v>
      </c>
      <c r="AA135">
        <v>12</v>
      </c>
      <c r="AB135">
        <v>11</v>
      </c>
      <c r="AC135">
        <v>11</v>
      </c>
      <c r="AD135" t="s">
        <v>46</v>
      </c>
      <c r="AE135" t="s">
        <v>45</v>
      </c>
      <c r="AF135" t="s">
        <v>62</v>
      </c>
      <c r="AG135" t="s">
        <v>61</v>
      </c>
      <c r="AH135">
        <v>-1</v>
      </c>
      <c r="AI135" t="s">
        <v>60</v>
      </c>
    </row>
    <row r="136" spans="1:35" x14ac:dyDescent="0.25">
      <c r="A136" t="s">
        <v>35</v>
      </c>
      <c r="B136" t="s">
        <v>59</v>
      </c>
      <c r="C136">
        <v>15</v>
      </c>
      <c r="D136" t="s">
        <v>63</v>
      </c>
      <c r="E136" t="s">
        <v>38</v>
      </c>
      <c r="F136" t="s">
        <v>49</v>
      </c>
      <c r="G136" t="s">
        <v>40</v>
      </c>
      <c r="H136">
        <v>3</v>
      </c>
      <c r="I136">
        <v>4</v>
      </c>
      <c r="J136" t="s">
        <v>41</v>
      </c>
      <c r="K136" t="s">
        <v>42</v>
      </c>
      <c r="L136">
        <v>2</v>
      </c>
      <c r="M136">
        <v>4</v>
      </c>
      <c r="N136" t="s">
        <v>44</v>
      </c>
      <c r="O136" t="s">
        <v>43</v>
      </c>
      <c r="P136" t="s">
        <v>44</v>
      </c>
      <c r="Q136" t="s">
        <v>44</v>
      </c>
      <c r="R136" t="s">
        <v>44</v>
      </c>
      <c r="S136" t="s">
        <v>43</v>
      </c>
      <c r="T136">
        <v>3</v>
      </c>
      <c r="U136">
        <v>3</v>
      </c>
      <c r="V136">
        <v>1</v>
      </c>
      <c r="W136">
        <v>1</v>
      </c>
      <c r="X136">
        <v>5</v>
      </c>
      <c r="Y136">
        <v>0</v>
      </c>
      <c r="Z136">
        <v>0</v>
      </c>
      <c r="AA136">
        <v>9</v>
      </c>
      <c r="AB136">
        <v>0</v>
      </c>
      <c r="AC136">
        <v>0</v>
      </c>
      <c r="AD136" t="s">
        <v>45</v>
      </c>
      <c r="AE136" t="s">
        <v>45</v>
      </c>
      <c r="AF136" t="s">
        <v>52</v>
      </c>
      <c r="AG136" t="s">
        <v>47</v>
      </c>
      <c r="AH136">
        <v>-9</v>
      </c>
      <c r="AI136" t="s">
        <v>60</v>
      </c>
    </row>
    <row r="137" spans="1:35" x14ac:dyDescent="0.25">
      <c r="A137" t="s">
        <v>35</v>
      </c>
      <c r="B137" t="s">
        <v>36</v>
      </c>
      <c r="C137">
        <v>15</v>
      </c>
      <c r="D137" t="s">
        <v>37</v>
      </c>
      <c r="E137" t="s">
        <v>38</v>
      </c>
      <c r="F137" t="s">
        <v>49</v>
      </c>
      <c r="G137" t="s">
        <v>40</v>
      </c>
      <c r="H137">
        <v>4</v>
      </c>
      <c r="I137">
        <v>4</v>
      </c>
      <c r="J137" t="s">
        <v>54</v>
      </c>
      <c r="K137" t="s">
        <v>41</v>
      </c>
      <c r="L137">
        <v>3</v>
      </c>
      <c r="M137">
        <v>1</v>
      </c>
      <c r="N137" t="s">
        <v>44</v>
      </c>
      <c r="O137" t="s">
        <v>43</v>
      </c>
      <c r="P137" t="s">
        <v>44</v>
      </c>
      <c r="Q137" t="s">
        <v>43</v>
      </c>
      <c r="R137" t="s">
        <v>43</v>
      </c>
      <c r="S137" t="s">
        <v>43</v>
      </c>
      <c r="T137">
        <v>3</v>
      </c>
      <c r="U137">
        <v>3</v>
      </c>
      <c r="V137">
        <v>1</v>
      </c>
      <c r="W137">
        <v>1</v>
      </c>
      <c r="X137">
        <v>5</v>
      </c>
      <c r="Y137">
        <v>0</v>
      </c>
      <c r="Z137">
        <v>0</v>
      </c>
      <c r="AA137">
        <v>11</v>
      </c>
      <c r="AB137">
        <v>0</v>
      </c>
      <c r="AC137">
        <v>0</v>
      </c>
      <c r="AD137" t="s">
        <v>45</v>
      </c>
      <c r="AE137" t="s">
        <v>45</v>
      </c>
      <c r="AF137" t="s">
        <v>52</v>
      </c>
      <c r="AG137" t="s">
        <v>57</v>
      </c>
      <c r="AH137">
        <v>-11</v>
      </c>
      <c r="AI137" t="s">
        <v>60</v>
      </c>
    </row>
    <row r="138" spans="1:35" x14ac:dyDescent="0.25">
      <c r="A138" t="s">
        <v>35</v>
      </c>
      <c r="B138" t="s">
        <v>59</v>
      </c>
      <c r="C138">
        <v>17</v>
      </c>
      <c r="D138" t="s">
        <v>63</v>
      </c>
      <c r="E138" t="s">
        <v>38</v>
      </c>
      <c r="F138" t="s">
        <v>49</v>
      </c>
      <c r="G138" t="s">
        <v>40</v>
      </c>
      <c r="H138">
        <v>3</v>
      </c>
      <c r="I138">
        <v>4</v>
      </c>
      <c r="J138" t="s">
        <v>41</v>
      </c>
      <c r="K138" t="s">
        <v>51</v>
      </c>
      <c r="L138">
        <v>2</v>
      </c>
      <c r="M138">
        <v>3</v>
      </c>
      <c r="N138" t="s">
        <v>44</v>
      </c>
      <c r="O138" t="s">
        <v>44</v>
      </c>
      <c r="P138" t="s">
        <v>44</v>
      </c>
      <c r="Q138" t="s">
        <v>44</v>
      </c>
      <c r="R138" t="s">
        <v>44</v>
      </c>
      <c r="S138" t="s">
        <v>44</v>
      </c>
      <c r="T138">
        <v>4</v>
      </c>
      <c r="U138">
        <v>5</v>
      </c>
      <c r="V138">
        <v>2</v>
      </c>
      <c r="W138">
        <v>4</v>
      </c>
      <c r="X138">
        <v>5</v>
      </c>
      <c r="Y138">
        <v>0</v>
      </c>
      <c r="Z138">
        <v>0</v>
      </c>
      <c r="AA138">
        <v>10</v>
      </c>
      <c r="AB138">
        <v>0</v>
      </c>
      <c r="AC138">
        <v>0</v>
      </c>
      <c r="AD138" t="s">
        <v>45</v>
      </c>
      <c r="AE138" t="s">
        <v>45</v>
      </c>
      <c r="AF138" t="s">
        <v>52</v>
      </c>
      <c r="AG138" t="s">
        <v>47</v>
      </c>
      <c r="AH138">
        <v>-10</v>
      </c>
      <c r="AI138" t="s">
        <v>60</v>
      </c>
    </row>
    <row r="139" spans="1:35" x14ac:dyDescent="0.25">
      <c r="A139" t="s">
        <v>35</v>
      </c>
      <c r="B139" t="s">
        <v>36</v>
      </c>
      <c r="C139">
        <v>16</v>
      </c>
      <c r="D139" t="s">
        <v>37</v>
      </c>
      <c r="E139" t="s">
        <v>38</v>
      </c>
      <c r="F139" t="s">
        <v>39</v>
      </c>
      <c r="G139" t="s">
        <v>51</v>
      </c>
      <c r="H139">
        <v>3</v>
      </c>
      <c r="I139">
        <v>3</v>
      </c>
      <c r="J139" t="s">
        <v>51</v>
      </c>
      <c r="K139" t="s">
        <v>51</v>
      </c>
      <c r="L139">
        <v>1</v>
      </c>
      <c r="M139">
        <v>2</v>
      </c>
      <c r="N139" t="s">
        <v>44</v>
      </c>
      <c r="O139" t="s">
        <v>43</v>
      </c>
      <c r="P139" t="s">
        <v>44</v>
      </c>
      <c r="Q139" t="s">
        <v>43</v>
      </c>
      <c r="R139" t="s">
        <v>43</v>
      </c>
      <c r="S139" t="s">
        <v>43</v>
      </c>
      <c r="T139">
        <v>3</v>
      </c>
      <c r="U139">
        <v>2</v>
      </c>
      <c r="V139">
        <v>1</v>
      </c>
      <c r="W139">
        <v>1</v>
      </c>
      <c r="X139">
        <v>5</v>
      </c>
      <c r="Y139">
        <v>2</v>
      </c>
      <c r="Z139">
        <v>0</v>
      </c>
      <c r="AA139">
        <v>4</v>
      </c>
      <c r="AB139">
        <v>0</v>
      </c>
      <c r="AC139">
        <v>0</v>
      </c>
      <c r="AD139" t="s">
        <v>45</v>
      </c>
      <c r="AE139" t="s">
        <v>45</v>
      </c>
      <c r="AF139" t="s">
        <v>52</v>
      </c>
      <c r="AG139" t="s">
        <v>61</v>
      </c>
      <c r="AH139">
        <v>-4</v>
      </c>
      <c r="AI139" t="s">
        <v>60</v>
      </c>
    </row>
    <row r="140" spans="1:35" x14ac:dyDescent="0.25">
      <c r="A140" t="s">
        <v>35</v>
      </c>
      <c r="B140" t="s">
        <v>59</v>
      </c>
      <c r="C140">
        <v>16</v>
      </c>
      <c r="D140" t="s">
        <v>37</v>
      </c>
      <c r="E140" t="s">
        <v>53</v>
      </c>
      <c r="F140" t="s">
        <v>49</v>
      </c>
      <c r="G140" t="s">
        <v>40</v>
      </c>
      <c r="H140">
        <v>1</v>
      </c>
      <c r="I140">
        <v>1</v>
      </c>
      <c r="J140" t="s">
        <v>54</v>
      </c>
      <c r="K140" t="s">
        <v>51</v>
      </c>
      <c r="L140">
        <v>2</v>
      </c>
      <c r="M140">
        <v>1</v>
      </c>
      <c r="N140" t="s">
        <v>44</v>
      </c>
      <c r="O140" t="s">
        <v>44</v>
      </c>
      <c r="P140" t="s">
        <v>44</v>
      </c>
      <c r="Q140" t="s">
        <v>44</v>
      </c>
      <c r="R140" t="s">
        <v>44</v>
      </c>
      <c r="S140" t="s">
        <v>43</v>
      </c>
      <c r="T140">
        <v>4</v>
      </c>
      <c r="U140">
        <v>4</v>
      </c>
      <c r="V140">
        <v>1</v>
      </c>
      <c r="W140">
        <v>3</v>
      </c>
      <c r="X140">
        <v>5</v>
      </c>
      <c r="Y140">
        <v>1</v>
      </c>
      <c r="Z140">
        <v>0</v>
      </c>
      <c r="AA140">
        <v>14</v>
      </c>
      <c r="AB140">
        <v>12</v>
      </c>
      <c r="AC140">
        <v>12</v>
      </c>
      <c r="AD140" t="s">
        <v>46</v>
      </c>
      <c r="AE140" t="s">
        <v>45</v>
      </c>
      <c r="AF140" t="s">
        <v>52</v>
      </c>
      <c r="AG140" t="s">
        <v>47</v>
      </c>
      <c r="AH140">
        <v>-2</v>
      </c>
      <c r="AI140" t="s">
        <v>60</v>
      </c>
    </row>
    <row r="141" spans="1:35" x14ac:dyDescent="0.25">
      <c r="A141" t="s">
        <v>35</v>
      </c>
      <c r="B141" t="s">
        <v>36</v>
      </c>
      <c r="C141">
        <v>15</v>
      </c>
      <c r="D141" t="s">
        <v>37</v>
      </c>
      <c r="E141" t="s">
        <v>38</v>
      </c>
      <c r="F141" t="s">
        <v>49</v>
      </c>
      <c r="G141" t="s">
        <v>40</v>
      </c>
      <c r="H141">
        <v>4</v>
      </c>
      <c r="I141">
        <v>4</v>
      </c>
      <c r="J141" t="s">
        <v>42</v>
      </c>
      <c r="K141" t="s">
        <v>42</v>
      </c>
      <c r="L141">
        <v>1</v>
      </c>
      <c r="M141">
        <v>2</v>
      </c>
      <c r="N141" t="s">
        <v>44</v>
      </c>
      <c r="O141" t="s">
        <v>44</v>
      </c>
      <c r="P141" t="s">
        <v>44</v>
      </c>
      <c r="Q141" t="s">
        <v>43</v>
      </c>
      <c r="R141" t="s">
        <v>43</v>
      </c>
      <c r="S141" t="s">
        <v>44</v>
      </c>
      <c r="T141">
        <v>3</v>
      </c>
      <c r="U141">
        <v>2</v>
      </c>
      <c r="V141">
        <v>1</v>
      </c>
      <c r="W141">
        <v>1</v>
      </c>
      <c r="X141">
        <v>5</v>
      </c>
      <c r="Y141">
        <v>0</v>
      </c>
      <c r="Z141">
        <v>0</v>
      </c>
      <c r="AA141">
        <v>16</v>
      </c>
      <c r="AB141">
        <v>16</v>
      </c>
      <c r="AC141">
        <v>15</v>
      </c>
      <c r="AD141" t="s">
        <v>55</v>
      </c>
      <c r="AE141" t="s">
        <v>56</v>
      </c>
      <c r="AF141" t="s">
        <v>52</v>
      </c>
      <c r="AG141" t="s">
        <v>61</v>
      </c>
      <c r="AH141">
        <v>-1</v>
      </c>
      <c r="AI141" t="s">
        <v>60</v>
      </c>
    </row>
    <row r="142" spans="1:35" x14ac:dyDescent="0.25">
      <c r="A142" t="s">
        <v>35</v>
      </c>
      <c r="B142" t="s">
        <v>59</v>
      </c>
      <c r="C142">
        <v>15</v>
      </c>
      <c r="D142" t="s">
        <v>37</v>
      </c>
      <c r="E142" t="s">
        <v>38</v>
      </c>
      <c r="F142" t="s">
        <v>49</v>
      </c>
      <c r="G142" t="s">
        <v>50</v>
      </c>
      <c r="H142">
        <v>4</v>
      </c>
      <c r="I142">
        <v>3</v>
      </c>
      <c r="J142" t="s">
        <v>42</v>
      </c>
      <c r="K142" t="s">
        <v>54</v>
      </c>
      <c r="L142">
        <v>4</v>
      </c>
      <c r="M142">
        <v>2</v>
      </c>
      <c r="N142" t="s">
        <v>43</v>
      </c>
      <c r="O142" t="s">
        <v>43</v>
      </c>
      <c r="P142" t="s">
        <v>44</v>
      </c>
      <c r="Q142" t="s">
        <v>44</v>
      </c>
      <c r="R142" t="s">
        <v>43</v>
      </c>
      <c r="S142" t="s">
        <v>44</v>
      </c>
      <c r="T142">
        <v>2</v>
      </c>
      <c r="U142">
        <v>2</v>
      </c>
      <c r="V142">
        <v>1</v>
      </c>
      <c r="W142">
        <v>1</v>
      </c>
      <c r="X142">
        <v>3</v>
      </c>
      <c r="Y142">
        <v>0</v>
      </c>
      <c r="Z142">
        <v>0</v>
      </c>
      <c r="AA142">
        <v>7</v>
      </c>
      <c r="AB142">
        <v>9</v>
      </c>
      <c r="AC142">
        <v>0</v>
      </c>
      <c r="AD142" t="s">
        <v>45</v>
      </c>
      <c r="AE142" t="s">
        <v>45</v>
      </c>
      <c r="AF142" t="s">
        <v>52</v>
      </c>
      <c r="AG142" t="s">
        <v>64</v>
      </c>
      <c r="AH142">
        <v>-7</v>
      </c>
      <c r="AI142" t="s">
        <v>60</v>
      </c>
    </row>
    <row r="143" spans="1:35" x14ac:dyDescent="0.25">
      <c r="A143" t="s">
        <v>35</v>
      </c>
      <c r="B143" t="s">
        <v>59</v>
      </c>
      <c r="C143">
        <v>16</v>
      </c>
      <c r="D143" t="s">
        <v>37</v>
      </c>
      <c r="E143" t="s">
        <v>53</v>
      </c>
      <c r="F143" t="s">
        <v>49</v>
      </c>
      <c r="G143" t="s">
        <v>50</v>
      </c>
      <c r="H143">
        <v>2</v>
      </c>
      <c r="I143">
        <v>2</v>
      </c>
      <c r="J143" t="s">
        <v>54</v>
      </c>
      <c r="K143" t="s">
        <v>54</v>
      </c>
      <c r="L143">
        <v>1</v>
      </c>
      <c r="M143">
        <v>2</v>
      </c>
      <c r="N143" t="s">
        <v>44</v>
      </c>
      <c r="O143" t="s">
        <v>43</v>
      </c>
      <c r="P143" t="s">
        <v>44</v>
      </c>
      <c r="Q143" t="s">
        <v>43</v>
      </c>
      <c r="R143" t="s">
        <v>43</v>
      </c>
      <c r="S143" t="s">
        <v>44</v>
      </c>
      <c r="T143">
        <v>3</v>
      </c>
      <c r="U143">
        <v>3</v>
      </c>
      <c r="V143">
        <v>2</v>
      </c>
      <c r="W143">
        <v>2</v>
      </c>
      <c r="X143">
        <v>2</v>
      </c>
      <c r="Y143">
        <v>2</v>
      </c>
      <c r="Z143">
        <v>8</v>
      </c>
      <c r="AA143">
        <v>9</v>
      </c>
      <c r="AB143">
        <v>9</v>
      </c>
      <c r="AC143">
        <v>9</v>
      </c>
      <c r="AD143" t="s">
        <v>45</v>
      </c>
      <c r="AE143" t="s">
        <v>45</v>
      </c>
      <c r="AF143" t="s">
        <v>46</v>
      </c>
      <c r="AG143" t="s">
        <v>61</v>
      </c>
      <c r="AH143">
        <v>0</v>
      </c>
      <c r="AI143" t="s">
        <v>58</v>
      </c>
    </row>
    <row r="144" spans="1:35" x14ac:dyDescent="0.25">
      <c r="A144" t="s">
        <v>35</v>
      </c>
      <c r="B144" t="s">
        <v>36</v>
      </c>
      <c r="C144">
        <v>15</v>
      </c>
      <c r="D144" t="s">
        <v>37</v>
      </c>
      <c r="E144" t="s">
        <v>38</v>
      </c>
      <c r="F144" t="s">
        <v>49</v>
      </c>
      <c r="G144" t="s">
        <v>40</v>
      </c>
      <c r="H144">
        <v>4</v>
      </c>
      <c r="I144">
        <v>4</v>
      </c>
      <c r="J144" t="s">
        <v>42</v>
      </c>
      <c r="K144" t="s">
        <v>54</v>
      </c>
      <c r="L144">
        <v>3</v>
      </c>
      <c r="M144">
        <v>1</v>
      </c>
      <c r="N144" t="s">
        <v>44</v>
      </c>
      <c r="O144" t="s">
        <v>43</v>
      </c>
      <c r="P144" t="s">
        <v>43</v>
      </c>
      <c r="Q144" t="s">
        <v>43</v>
      </c>
      <c r="R144" t="s">
        <v>43</v>
      </c>
      <c r="S144" t="s">
        <v>44</v>
      </c>
      <c r="T144">
        <v>2</v>
      </c>
      <c r="U144">
        <v>2</v>
      </c>
      <c r="V144">
        <v>1</v>
      </c>
      <c r="W144">
        <v>1</v>
      </c>
      <c r="X144">
        <v>5</v>
      </c>
      <c r="Y144">
        <v>0</v>
      </c>
      <c r="Z144">
        <v>2</v>
      </c>
      <c r="AA144">
        <v>9</v>
      </c>
      <c r="AB144">
        <v>11</v>
      </c>
      <c r="AC144">
        <v>11</v>
      </c>
      <c r="AD144" t="s">
        <v>46</v>
      </c>
      <c r="AE144" t="s">
        <v>56</v>
      </c>
      <c r="AF144" t="s">
        <v>52</v>
      </c>
      <c r="AG144" t="s">
        <v>57</v>
      </c>
      <c r="AH144">
        <v>2</v>
      </c>
      <c r="AI144" t="s">
        <v>48</v>
      </c>
    </row>
    <row r="145" spans="1:35" x14ac:dyDescent="0.25">
      <c r="A145" t="s">
        <v>35</v>
      </c>
      <c r="B145" t="s">
        <v>36</v>
      </c>
      <c r="C145">
        <v>16</v>
      </c>
      <c r="D145" t="s">
        <v>37</v>
      </c>
      <c r="E145" t="s">
        <v>53</v>
      </c>
      <c r="F145" t="s">
        <v>49</v>
      </c>
      <c r="G145" t="s">
        <v>40</v>
      </c>
      <c r="H145">
        <v>1</v>
      </c>
      <c r="I145">
        <v>1</v>
      </c>
      <c r="J145" t="s">
        <v>41</v>
      </c>
      <c r="K145" t="s">
        <v>41</v>
      </c>
      <c r="L145">
        <v>1</v>
      </c>
      <c r="M145">
        <v>1</v>
      </c>
      <c r="N145" t="s">
        <v>44</v>
      </c>
      <c r="O145" t="s">
        <v>44</v>
      </c>
      <c r="P145" t="s">
        <v>44</v>
      </c>
      <c r="Q145" t="s">
        <v>44</v>
      </c>
      <c r="R145" t="s">
        <v>43</v>
      </c>
      <c r="S145" t="s">
        <v>44</v>
      </c>
      <c r="T145">
        <v>4</v>
      </c>
      <c r="U145">
        <v>4</v>
      </c>
      <c r="V145">
        <v>3</v>
      </c>
      <c r="W145">
        <v>3</v>
      </c>
      <c r="X145">
        <v>1</v>
      </c>
      <c r="Y145">
        <v>0</v>
      </c>
      <c r="Z145">
        <v>2</v>
      </c>
      <c r="AA145">
        <v>14</v>
      </c>
      <c r="AB145">
        <v>14</v>
      </c>
      <c r="AC145">
        <v>13</v>
      </c>
      <c r="AD145" t="s">
        <v>46</v>
      </c>
      <c r="AE145" t="s">
        <v>56</v>
      </c>
      <c r="AF145" t="s">
        <v>52</v>
      </c>
      <c r="AG145" t="s">
        <v>61</v>
      </c>
      <c r="AH145">
        <v>-1</v>
      </c>
      <c r="AI145" t="s">
        <v>60</v>
      </c>
    </row>
    <row r="146" spans="1:35" x14ac:dyDescent="0.25">
      <c r="A146" t="s">
        <v>35</v>
      </c>
      <c r="B146" t="s">
        <v>59</v>
      </c>
      <c r="C146">
        <v>17</v>
      </c>
      <c r="D146" t="s">
        <v>37</v>
      </c>
      <c r="E146" t="s">
        <v>38</v>
      </c>
      <c r="F146" t="s">
        <v>49</v>
      </c>
      <c r="G146" t="s">
        <v>40</v>
      </c>
      <c r="H146">
        <v>2</v>
      </c>
      <c r="I146">
        <v>1</v>
      </c>
      <c r="J146" t="s">
        <v>51</v>
      </c>
      <c r="K146" t="s">
        <v>51</v>
      </c>
      <c r="L146">
        <v>1</v>
      </c>
      <c r="M146">
        <v>1</v>
      </c>
      <c r="N146" t="s">
        <v>44</v>
      </c>
      <c r="O146" t="s">
        <v>43</v>
      </c>
      <c r="P146" t="s">
        <v>44</v>
      </c>
      <c r="Q146" t="s">
        <v>44</v>
      </c>
      <c r="R146" t="s">
        <v>43</v>
      </c>
      <c r="S146" t="s">
        <v>44</v>
      </c>
      <c r="T146">
        <v>4</v>
      </c>
      <c r="U146">
        <v>5</v>
      </c>
      <c r="V146">
        <v>1</v>
      </c>
      <c r="W146">
        <v>2</v>
      </c>
      <c r="X146">
        <v>5</v>
      </c>
      <c r="Y146">
        <v>3</v>
      </c>
      <c r="Z146">
        <v>0</v>
      </c>
      <c r="AA146">
        <v>5</v>
      </c>
      <c r="AB146">
        <v>0</v>
      </c>
      <c r="AC146">
        <v>0</v>
      </c>
      <c r="AD146" t="s">
        <v>45</v>
      </c>
      <c r="AE146" t="s">
        <v>45</v>
      </c>
      <c r="AF146" t="s">
        <v>52</v>
      </c>
      <c r="AG146" t="s">
        <v>61</v>
      </c>
      <c r="AH146">
        <v>-5</v>
      </c>
      <c r="AI146" t="s">
        <v>60</v>
      </c>
    </row>
    <row r="147" spans="1:35" x14ac:dyDescent="0.25">
      <c r="A147" t="s">
        <v>35</v>
      </c>
      <c r="B147" t="s">
        <v>36</v>
      </c>
      <c r="C147">
        <v>15</v>
      </c>
      <c r="D147" t="s">
        <v>37</v>
      </c>
      <c r="E147" t="s">
        <v>38</v>
      </c>
      <c r="F147" t="s">
        <v>49</v>
      </c>
      <c r="G147" t="s">
        <v>50</v>
      </c>
      <c r="H147">
        <v>1</v>
      </c>
      <c r="I147">
        <v>1</v>
      </c>
      <c r="J147" t="s">
        <v>51</v>
      </c>
      <c r="K147" t="s">
        <v>54</v>
      </c>
      <c r="L147">
        <v>2</v>
      </c>
      <c r="M147">
        <v>1</v>
      </c>
      <c r="N147" t="s">
        <v>44</v>
      </c>
      <c r="O147" t="s">
        <v>43</v>
      </c>
      <c r="P147" t="s">
        <v>43</v>
      </c>
      <c r="Q147" t="s">
        <v>44</v>
      </c>
      <c r="R147" t="s">
        <v>43</v>
      </c>
      <c r="S147" t="s">
        <v>44</v>
      </c>
      <c r="T147">
        <v>4</v>
      </c>
      <c r="U147">
        <v>2</v>
      </c>
      <c r="V147">
        <v>1</v>
      </c>
      <c r="W147">
        <v>2</v>
      </c>
      <c r="X147">
        <v>5</v>
      </c>
      <c r="Y147">
        <v>0</v>
      </c>
      <c r="Z147">
        <v>0</v>
      </c>
      <c r="AA147">
        <v>8</v>
      </c>
      <c r="AB147">
        <v>11</v>
      </c>
      <c r="AC147">
        <v>11</v>
      </c>
      <c r="AD147" t="s">
        <v>46</v>
      </c>
      <c r="AE147" t="s">
        <v>56</v>
      </c>
      <c r="AF147" t="s">
        <v>52</v>
      </c>
      <c r="AG147" t="s">
        <v>47</v>
      </c>
      <c r="AH147">
        <v>3</v>
      </c>
      <c r="AI147" t="s">
        <v>48</v>
      </c>
    </row>
    <row r="148" spans="1:35" x14ac:dyDescent="0.25">
      <c r="A148" t="s">
        <v>35</v>
      </c>
      <c r="B148" t="s">
        <v>36</v>
      </c>
      <c r="C148">
        <v>15</v>
      </c>
      <c r="D148" t="s">
        <v>37</v>
      </c>
      <c r="E148" t="s">
        <v>38</v>
      </c>
      <c r="F148" t="s">
        <v>49</v>
      </c>
      <c r="G148" t="s">
        <v>50</v>
      </c>
      <c r="H148">
        <v>3</v>
      </c>
      <c r="I148">
        <v>2</v>
      </c>
      <c r="J148" t="s">
        <v>23</v>
      </c>
      <c r="K148" t="s">
        <v>54</v>
      </c>
      <c r="L148">
        <v>2</v>
      </c>
      <c r="M148">
        <v>1</v>
      </c>
      <c r="N148" t="s">
        <v>44</v>
      </c>
      <c r="O148" t="s">
        <v>43</v>
      </c>
      <c r="P148" t="s">
        <v>44</v>
      </c>
      <c r="Q148" t="s">
        <v>44</v>
      </c>
      <c r="R148" t="s">
        <v>43</v>
      </c>
      <c r="S148" t="s">
        <v>44</v>
      </c>
      <c r="T148">
        <v>3</v>
      </c>
      <c r="U148">
        <v>2</v>
      </c>
      <c r="V148">
        <v>1</v>
      </c>
      <c r="W148">
        <v>1</v>
      </c>
      <c r="X148">
        <v>3</v>
      </c>
      <c r="Y148">
        <v>3</v>
      </c>
      <c r="Z148">
        <v>0</v>
      </c>
      <c r="AA148">
        <v>6</v>
      </c>
      <c r="AB148">
        <v>7</v>
      </c>
      <c r="AC148">
        <v>0</v>
      </c>
      <c r="AD148" t="s">
        <v>45</v>
      </c>
      <c r="AE148" t="s">
        <v>45</v>
      </c>
      <c r="AF148" t="s">
        <v>52</v>
      </c>
      <c r="AG148" t="s">
        <v>47</v>
      </c>
      <c r="AH148">
        <v>-6</v>
      </c>
      <c r="AI148" t="s">
        <v>60</v>
      </c>
    </row>
    <row r="149" spans="1:35" x14ac:dyDescent="0.25">
      <c r="A149" t="s">
        <v>35</v>
      </c>
      <c r="B149" t="s">
        <v>36</v>
      </c>
      <c r="C149">
        <v>15</v>
      </c>
      <c r="D149" t="s">
        <v>37</v>
      </c>
      <c r="E149" t="s">
        <v>38</v>
      </c>
      <c r="F149" t="s">
        <v>49</v>
      </c>
      <c r="G149" t="s">
        <v>40</v>
      </c>
      <c r="H149">
        <v>1</v>
      </c>
      <c r="I149">
        <v>2</v>
      </c>
      <c r="J149" t="s">
        <v>41</v>
      </c>
      <c r="K149" t="s">
        <v>51</v>
      </c>
      <c r="L149">
        <v>2</v>
      </c>
      <c r="M149">
        <v>1</v>
      </c>
      <c r="N149" t="s">
        <v>44</v>
      </c>
      <c r="O149" t="s">
        <v>43</v>
      </c>
      <c r="P149" t="s">
        <v>43</v>
      </c>
      <c r="Q149" t="s">
        <v>44</v>
      </c>
      <c r="R149" t="s">
        <v>43</v>
      </c>
      <c r="S149" t="s">
        <v>44</v>
      </c>
      <c r="T149">
        <v>3</v>
      </c>
      <c r="U149">
        <v>2</v>
      </c>
      <c r="V149">
        <v>1</v>
      </c>
      <c r="W149">
        <v>1</v>
      </c>
      <c r="X149">
        <v>5</v>
      </c>
      <c r="Y149">
        <v>0</v>
      </c>
      <c r="Z149">
        <v>2</v>
      </c>
      <c r="AA149">
        <v>10</v>
      </c>
      <c r="AB149">
        <v>11</v>
      </c>
      <c r="AC149">
        <v>11</v>
      </c>
      <c r="AD149" t="s">
        <v>46</v>
      </c>
      <c r="AE149" t="s">
        <v>56</v>
      </c>
      <c r="AF149" t="s">
        <v>52</v>
      </c>
      <c r="AG149" t="s">
        <v>47</v>
      </c>
      <c r="AH149">
        <v>1</v>
      </c>
      <c r="AI149" t="s">
        <v>48</v>
      </c>
    </row>
    <row r="150" spans="1:35" x14ac:dyDescent="0.25">
      <c r="A150" t="s">
        <v>35</v>
      </c>
      <c r="B150" t="s">
        <v>59</v>
      </c>
      <c r="C150">
        <v>16</v>
      </c>
      <c r="D150" t="s">
        <v>37</v>
      </c>
      <c r="E150" t="s">
        <v>38</v>
      </c>
      <c r="F150" t="s">
        <v>49</v>
      </c>
      <c r="G150" t="s">
        <v>40</v>
      </c>
      <c r="H150">
        <v>4</v>
      </c>
      <c r="I150">
        <v>4</v>
      </c>
      <c r="J150" t="s">
        <v>42</v>
      </c>
      <c r="K150" t="s">
        <v>42</v>
      </c>
      <c r="L150">
        <v>1</v>
      </c>
      <c r="M150">
        <v>1</v>
      </c>
      <c r="N150" t="s">
        <v>44</v>
      </c>
      <c r="O150" t="s">
        <v>43</v>
      </c>
      <c r="P150" t="s">
        <v>44</v>
      </c>
      <c r="Q150" t="s">
        <v>44</v>
      </c>
      <c r="R150" t="s">
        <v>43</v>
      </c>
      <c r="S150" t="s">
        <v>43</v>
      </c>
      <c r="T150">
        <v>3</v>
      </c>
      <c r="U150">
        <v>2</v>
      </c>
      <c r="V150">
        <v>2</v>
      </c>
      <c r="W150">
        <v>1</v>
      </c>
      <c r="X150">
        <v>5</v>
      </c>
      <c r="Y150">
        <v>0</v>
      </c>
      <c r="Z150">
        <v>0</v>
      </c>
      <c r="AA150">
        <v>7</v>
      </c>
      <c r="AB150">
        <v>6</v>
      </c>
      <c r="AC150">
        <v>0</v>
      </c>
      <c r="AD150" t="s">
        <v>45</v>
      </c>
      <c r="AE150" t="s">
        <v>45</v>
      </c>
      <c r="AF150" t="s">
        <v>52</v>
      </c>
      <c r="AG150" t="s">
        <v>61</v>
      </c>
      <c r="AH150">
        <v>-7</v>
      </c>
      <c r="AI150" t="s">
        <v>60</v>
      </c>
    </row>
    <row r="151" spans="1:35" x14ac:dyDescent="0.25">
      <c r="A151" t="s">
        <v>35</v>
      </c>
      <c r="B151" t="s">
        <v>59</v>
      </c>
      <c r="C151">
        <v>15</v>
      </c>
      <c r="D151" t="s">
        <v>37</v>
      </c>
      <c r="E151" t="s">
        <v>53</v>
      </c>
      <c r="F151" t="s">
        <v>39</v>
      </c>
      <c r="G151" t="s">
        <v>40</v>
      </c>
      <c r="H151">
        <v>2</v>
      </c>
      <c r="I151">
        <v>1</v>
      </c>
      <c r="J151" t="s">
        <v>54</v>
      </c>
      <c r="K151" t="s">
        <v>51</v>
      </c>
      <c r="L151">
        <v>1</v>
      </c>
      <c r="M151">
        <v>4</v>
      </c>
      <c r="N151" t="s">
        <v>44</v>
      </c>
      <c r="O151" t="s">
        <v>44</v>
      </c>
      <c r="P151" t="s">
        <v>44</v>
      </c>
      <c r="Q151" t="s">
        <v>44</v>
      </c>
      <c r="R151" t="s">
        <v>43</v>
      </c>
      <c r="S151" t="s">
        <v>44</v>
      </c>
      <c r="T151">
        <v>5</v>
      </c>
      <c r="U151">
        <v>5</v>
      </c>
      <c r="V151">
        <v>2</v>
      </c>
      <c r="W151">
        <v>5</v>
      </c>
      <c r="X151">
        <v>5</v>
      </c>
      <c r="Y151">
        <v>3</v>
      </c>
      <c r="Z151">
        <v>0</v>
      </c>
      <c r="AA151">
        <v>8</v>
      </c>
      <c r="AB151">
        <v>9</v>
      </c>
      <c r="AC151">
        <v>10</v>
      </c>
      <c r="AD151" t="s">
        <v>46</v>
      </c>
      <c r="AE151" t="s">
        <v>45</v>
      </c>
      <c r="AF151" t="s">
        <v>52</v>
      </c>
      <c r="AG151" t="s">
        <v>61</v>
      </c>
      <c r="AH151">
        <v>2</v>
      </c>
      <c r="AI151" t="s">
        <v>48</v>
      </c>
    </row>
    <row r="152" spans="1:35" x14ac:dyDescent="0.25">
      <c r="A152" t="s">
        <v>35</v>
      </c>
      <c r="B152" t="s">
        <v>59</v>
      </c>
      <c r="C152">
        <v>18</v>
      </c>
      <c r="D152" t="s">
        <v>37</v>
      </c>
      <c r="E152" t="s">
        <v>53</v>
      </c>
      <c r="F152" t="s">
        <v>49</v>
      </c>
      <c r="G152" t="s">
        <v>40</v>
      </c>
      <c r="H152">
        <v>1</v>
      </c>
      <c r="I152">
        <v>1</v>
      </c>
      <c r="J152" t="s">
        <v>51</v>
      </c>
      <c r="K152" t="s">
        <v>51</v>
      </c>
      <c r="L152">
        <v>1</v>
      </c>
      <c r="M152">
        <v>1</v>
      </c>
      <c r="N152" t="s">
        <v>44</v>
      </c>
      <c r="O152" t="s">
        <v>44</v>
      </c>
      <c r="P152" t="s">
        <v>44</v>
      </c>
      <c r="Q152" t="s">
        <v>44</v>
      </c>
      <c r="R152" t="s">
        <v>43</v>
      </c>
      <c r="S152" t="s">
        <v>43</v>
      </c>
      <c r="T152">
        <v>3</v>
      </c>
      <c r="U152">
        <v>5</v>
      </c>
      <c r="V152">
        <v>2</v>
      </c>
      <c r="W152">
        <v>5</v>
      </c>
      <c r="X152">
        <v>4</v>
      </c>
      <c r="Y152">
        <v>3</v>
      </c>
      <c r="Z152">
        <v>0</v>
      </c>
      <c r="AA152">
        <v>6</v>
      </c>
      <c r="AB152">
        <v>5</v>
      </c>
      <c r="AC152">
        <v>0</v>
      </c>
      <c r="AD152" t="s">
        <v>45</v>
      </c>
      <c r="AE152" t="s">
        <v>45</v>
      </c>
      <c r="AF152" t="s">
        <v>52</v>
      </c>
      <c r="AG152" t="s">
        <v>61</v>
      </c>
      <c r="AH152">
        <v>-6</v>
      </c>
      <c r="AI152" t="s">
        <v>60</v>
      </c>
    </row>
    <row r="153" spans="1:35" x14ac:dyDescent="0.25">
      <c r="A153" t="s">
        <v>35</v>
      </c>
      <c r="B153" t="s">
        <v>59</v>
      </c>
      <c r="C153">
        <v>16</v>
      </c>
      <c r="D153" t="s">
        <v>37</v>
      </c>
      <c r="E153" t="s">
        <v>53</v>
      </c>
      <c r="F153" t="s">
        <v>49</v>
      </c>
      <c r="G153" t="s">
        <v>40</v>
      </c>
      <c r="H153">
        <v>2</v>
      </c>
      <c r="I153">
        <v>1</v>
      </c>
      <c r="J153" t="s">
        <v>41</v>
      </c>
      <c r="K153" t="s">
        <v>51</v>
      </c>
      <c r="L153">
        <v>1</v>
      </c>
      <c r="M153">
        <v>1</v>
      </c>
      <c r="N153" t="s">
        <v>44</v>
      </c>
      <c r="O153" t="s">
        <v>44</v>
      </c>
      <c r="P153" t="s">
        <v>44</v>
      </c>
      <c r="Q153" t="s">
        <v>43</v>
      </c>
      <c r="R153" t="s">
        <v>44</v>
      </c>
      <c r="S153" t="s">
        <v>43</v>
      </c>
      <c r="T153">
        <v>4</v>
      </c>
      <c r="U153">
        <v>4</v>
      </c>
      <c r="V153">
        <v>3</v>
      </c>
      <c r="W153">
        <v>5</v>
      </c>
      <c r="X153">
        <v>5</v>
      </c>
      <c r="Y153">
        <v>1</v>
      </c>
      <c r="Z153">
        <v>6</v>
      </c>
      <c r="AA153">
        <v>12</v>
      </c>
      <c r="AB153">
        <v>13</v>
      </c>
      <c r="AC153">
        <v>14</v>
      </c>
      <c r="AD153" t="s">
        <v>55</v>
      </c>
      <c r="AE153" t="s">
        <v>45</v>
      </c>
      <c r="AF153" t="s">
        <v>46</v>
      </c>
      <c r="AG153" t="s">
        <v>61</v>
      </c>
      <c r="AH153">
        <v>2</v>
      </c>
      <c r="AI153" t="s">
        <v>48</v>
      </c>
    </row>
    <row r="154" spans="1:35" x14ac:dyDescent="0.25">
      <c r="A154" t="s">
        <v>35</v>
      </c>
      <c r="B154" t="s">
        <v>36</v>
      </c>
      <c r="C154">
        <v>15</v>
      </c>
      <c r="D154" t="s">
        <v>63</v>
      </c>
      <c r="E154" t="s">
        <v>38</v>
      </c>
      <c r="F154" t="s">
        <v>49</v>
      </c>
      <c r="G154" t="s">
        <v>51</v>
      </c>
      <c r="H154">
        <v>3</v>
      </c>
      <c r="I154">
        <v>3</v>
      </c>
      <c r="J154" t="s">
        <v>54</v>
      </c>
      <c r="K154" t="s">
        <v>54</v>
      </c>
      <c r="L154">
        <v>3</v>
      </c>
      <c r="M154">
        <v>2</v>
      </c>
      <c r="N154" t="s">
        <v>44</v>
      </c>
      <c r="O154" t="s">
        <v>43</v>
      </c>
      <c r="P154" t="s">
        <v>43</v>
      </c>
      <c r="Q154" t="s">
        <v>43</v>
      </c>
      <c r="R154" t="s">
        <v>43</v>
      </c>
      <c r="S154" t="s">
        <v>43</v>
      </c>
      <c r="T154">
        <v>2</v>
      </c>
      <c r="U154">
        <v>1</v>
      </c>
      <c r="V154">
        <v>2</v>
      </c>
      <c r="W154">
        <v>3</v>
      </c>
      <c r="X154">
        <v>3</v>
      </c>
      <c r="Y154">
        <v>2</v>
      </c>
      <c r="Z154">
        <v>8</v>
      </c>
      <c r="AA154">
        <v>10</v>
      </c>
      <c r="AB154">
        <v>10</v>
      </c>
      <c r="AC154">
        <v>10</v>
      </c>
      <c r="AD154" t="s">
        <v>46</v>
      </c>
      <c r="AE154" t="s">
        <v>45</v>
      </c>
      <c r="AF154" t="s">
        <v>46</v>
      </c>
      <c r="AG154" t="s">
        <v>57</v>
      </c>
      <c r="AH154">
        <v>0</v>
      </c>
      <c r="AI154" t="s">
        <v>58</v>
      </c>
    </row>
    <row r="155" spans="1:35" x14ac:dyDescent="0.25">
      <c r="A155" t="s">
        <v>35</v>
      </c>
      <c r="B155" t="s">
        <v>59</v>
      </c>
      <c r="C155">
        <v>19</v>
      </c>
      <c r="D155" t="s">
        <v>37</v>
      </c>
      <c r="E155" t="s">
        <v>38</v>
      </c>
      <c r="F155" t="s">
        <v>49</v>
      </c>
      <c r="G155" t="s">
        <v>40</v>
      </c>
      <c r="H155">
        <v>3</v>
      </c>
      <c r="I155">
        <v>2</v>
      </c>
      <c r="J155" t="s">
        <v>54</v>
      </c>
      <c r="K155" t="s">
        <v>41</v>
      </c>
      <c r="L155">
        <v>1</v>
      </c>
      <c r="M155">
        <v>1</v>
      </c>
      <c r="N155" t="s">
        <v>44</v>
      </c>
      <c r="O155" t="s">
        <v>43</v>
      </c>
      <c r="P155" t="s">
        <v>44</v>
      </c>
      <c r="Q155" t="s">
        <v>44</v>
      </c>
      <c r="R155" t="s">
        <v>43</v>
      </c>
      <c r="S155" t="s">
        <v>43</v>
      </c>
      <c r="T155">
        <v>5</v>
      </c>
      <c r="U155">
        <v>4</v>
      </c>
      <c r="V155">
        <v>1</v>
      </c>
      <c r="W155">
        <v>1</v>
      </c>
      <c r="X155">
        <v>4</v>
      </c>
      <c r="Y155">
        <v>3</v>
      </c>
      <c r="Z155">
        <v>0</v>
      </c>
      <c r="AA155">
        <v>5</v>
      </c>
      <c r="AB155">
        <v>0</v>
      </c>
      <c r="AC155">
        <v>0</v>
      </c>
      <c r="AD155" t="s">
        <v>45</v>
      </c>
      <c r="AE155" t="s">
        <v>45</v>
      </c>
      <c r="AF155" t="s">
        <v>52</v>
      </c>
      <c r="AG155" t="s">
        <v>61</v>
      </c>
      <c r="AH155">
        <v>-5</v>
      </c>
      <c r="AI155" t="s">
        <v>60</v>
      </c>
    </row>
    <row r="156" spans="1:35" x14ac:dyDescent="0.25">
      <c r="A156" t="s">
        <v>35</v>
      </c>
      <c r="B156" t="s">
        <v>36</v>
      </c>
      <c r="C156">
        <v>17</v>
      </c>
      <c r="D156" t="s">
        <v>37</v>
      </c>
      <c r="E156" t="s">
        <v>38</v>
      </c>
      <c r="F156" t="s">
        <v>49</v>
      </c>
      <c r="G156" t="s">
        <v>40</v>
      </c>
      <c r="H156">
        <v>4</v>
      </c>
      <c r="I156">
        <v>4</v>
      </c>
      <c r="J156" t="s">
        <v>51</v>
      </c>
      <c r="K156" t="s">
        <v>42</v>
      </c>
      <c r="L156">
        <v>1</v>
      </c>
      <c r="M156">
        <v>1</v>
      </c>
      <c r="N156" t="s">
        <v>43</v>
      </c>
      <c r="O156" t="s">
        <v>43</v>
      </c>
      <c r="P156" t="s">
        <v>44</v>
      </c>
      <c r="Q156" t="s">
        <v>44</v>
      </c>
      <c r="R156" t="s">
        <v>44</v>
      </c>
      <c r="S156" t="s">
        <v>43</v>
      </c>
      <c r="T156">
        <v>2</v>
      </c>
      <c r="U156">
        <v>1</v>
      </c>
      <c r="V156">
        <v>1</v>
      </c>
      <c r="W156">
        <v>1</v>
      </c>
      <c r="X156">
        <v>4</v>
      </c>
      <c r="Y156">
        <v>0</v>
      </c>
      <c r="Z156">
        <v>0</v>
      </c>
      <c r="AA156">
        <v>11</v>
      </c>
      <c r="AB156">
        <v>11</v>
      </c>
      <c r="AC156">
        <v>12</v>
      </c>
      <c r="AD156" t="s">
        <v>46</v>
      </c>
      <c r="AE156" t="s">
        <v>56</v>
      </c>
      <c r="AF156" t="s">
        <v>52</v>
      </c>
      <c r="AG156" t="s">
        <v>61</v>
      </c>
      <c r="AH156">
        <v>1</v>
      </c>
      <c r="AI156" t="s">
        <v>48</v>
      </c>
    </row>
    <row r="157" spans="1:35" x14ac:dyDescent="0.25">
      <c r="A157" t="s">
        <v>35</v>
      </c>
      <c r="B157" t="s">
        <v>59</v>
      </c>
      <c r="C157">
        <v>15</v>
      </c>
      <c r="D157" t="s">
        <v>63</v>
      </c>
      <c r="E157" t="s">
        <v>38</v>
      </c>
      <c r="F157" t="s">
        <v>49</v>
      </c>
      <c r="G157" t="s">
        <v>40</v>
      </c>
      <c r="H157">
        <v>2</v>
      </c>
      <c r="I157">
        <v>3</v>
      </c>
      <c r="J157" t="s">
        <v>41</v>
      </c>
      <c r="K157" t="s">
        <v>54</v>
      </c>
      <c r="L157">
        <v>2</v>
      </c>
      <c r="M157">
        <v>1</v>
      </c>
      <c r="N157" t="s">
        <v>43</v>
      </c>
      <c r="O157" t="s">
        <v>44</v>
      </c>
      <c r="P157" t="s">
        <v>43</v>
      </c>
      <c r="Q157" t="s">
        <v>43</v>
      </c>
      <c r="R157" t="s">
        <v>44</v>
      </c>
      <c r="S157" t="s">
        <v>44</v>
      </c>
      <c r="T157">
        <v>4</v>
      </c>
      <c r="U157">
        <v>4</v>
      </c>
      <c r="V157">
        <v>1</v>
      </c>
      <c r="W157">
        <v>1</v>
      </c>
      <c r="X157">
        <v>1</v>
      </c>
      <c r="Y157">
        <v>0</v>
      </c>
      <c r="Z157">
        <v>2</v>
      </c>
      <c r="AA157">
        <v>11</v>
      </c>
      <c r="AB157">
        <v>8</v>
      </c>
      <c r="AC157">
        <v>8</v>
      </c>
      <c r="AD157" t="s">
        <v>45</v>
      </c>
      <c r="AE157" t="s">
        <v>45</v>
      </c>
      <c r="AF157" t="s">
        <v>52</v>
      </c>
      <c r="AG157" t="s">
        <v>47</v>
      </c>
      <c r="AH157">
        <v>-3</v>
      </c>
      <c r="AI157" t="s">
        <v>60</v>
      </c>
    </row>
    <row r="158" spans="1:35" x14ac:dyDescent="0.25">
      <c r="A158" t="s">
        <v>35</v>
      </c>
      <c r="B158" t="s">
        <v>59</v>
      </c>
      <c r="C158">
        <v>17</v>
      </c>
      <c r="D158" t="s">
        <v>63</v>
      </c>
      <c r="E158" t="s">
        <v>53</v>
      </c>
      <c r="F158" t="s">
        <v>49</v>
      </c>
      <c r="G158" t="s">
        <v>40</v>
      </c>
      <c r="H158">
        <v>1</v>
      </c>
      <c r="I158">
        <v>2</v>
      </c>
      <c r="J158" t="s">
        <v>51</v>
      </c>
      <c r="K158" t="s">
        <v>51</v>
      </c>
      <c r="L158">
        <v>1</v>
      </c>
      <c r="M158">
        <v>1</v>
      </c>
      <c r="N158" t="s">
        <v>44</v>
      </c>
      <c r="O158" t="s">
        <v>44</v>
      </c>
      <c r="P158" t="s">
        <v>44</v>
      </c>
      <c r="Q158" t="s">
        <v>44</v>
      </c>
      <c r="R158" t="s">
        <v>44</v>
      </c>
      <c r="S158" t="s">
        <v>44</v>
      </c>
      <c r="T158">
        <v>2</v>
      </c>
      <c r="U158">
        <v>2</v>
      </c>
      <c r="V158">
        <v>3</v>
      </c>
      <c r="W158">
        <v>3</v>
      </c>
      <c r="X158">
        <v>5</v>
      </c>
      <c r="Y158">
        <v>0</v>
      </c>
      <c r="Z158">
        <v>8</v>
      </c>
      <c r="AA158">
        <v>16</v>
      </c>
      <c r="AB158">
        <v>12</v>
      </c>
      <c r="AC158">
        <v>13</v>
      </c>
      <c r="AD158" t="s">
        <v>46</v>
      </c>
      <c r="AE158" t="s">
        <v>56</v>
      </c>
      <c r="AF158" t="s">
        <v>46</v>
      </c>
      <c r="AG158" t="s">
        <v>61</v>
      </c>
      <c r="AH158">
        <v>-3</v>
      </c>
      <c r="AI158" t="s">
        <v>60</v>
      </c>
    </row>
    <row r="159" spans="1:35" x14ac:dyDescent="0.25">
      <c r="A159" t="s">
        <v>35</v>
      </c>
      <c r="B159" t="s">
        <v>36</v>
      </c>
      <c r="C159">
        <v>18</v>
      </c>
      <c r="D159" t="s">
        <v>63</v>
      </c>
      <c r="E159" t="s">
        <v>38</v>
      </c>
      <c r="F159" t="s">
        <v>49</v>
      </c>
      <c r="G159" t="s">
        <v>40</v>
      </c>
      <c r="H159">
        <v>1</v>
      </c>
      <c r="I159">
        <v>1</v>
      </c>
      <c r="J159" t="s">
        <v>41</v>
      </c>
      <c r="K159" t="s">
        <v>51</v>
      </c>
      <c r="L159">
        <v>1</v>
      </c>
      <c r="M159">
        <v>3</v>
      </c>
      <c r="N159" t="s">
        <v>44</v>
      </c>
      <c r="O159" t="s">
        <v>43</v>
      </c>
      <c r="P159" t="s">
        <v>44</v>
      </c>
      <c r="Q159" t="s">
        <v>43</v>
      </c>
      <c r="R159" t="s">
        <v>44</v>
      </c>
      <c r="S159" t="s">
        <v>44</v>
      </c>
      <c r="T159">
        <v>2</v>
      </c>
      <c r="U159">
        <v>5</v>
      </c>
      <c r="V159">
        <v>1</v>
      </c>
      <c r="W159">
        <v>5</v>
      </c>
      <c r="X159">
        <v>4</v>
      </c>
      <c r="Y159">
        <v>3</v>
      </c>
      <c r="Z159">
        <v>6</v>
      </c>
      <c r="AA159">
        <v>9</v>
      </c>
      <c r="AB159">
        <v>8</v>
      </c>
      <c r="AC159">
        <v>10</v>
      </c>
      <c r="AD159" t="s">
        <v>46</v>
      </c>
      <c r="AE159" t="s">
        <v>45</v>
      </c>
      <c r="AF159" t="s">
        <v>46</v>
      </c>
      <c r="AG159" t="s">
        <v>61</v>
      </c>
      <c r="AH159">
        <v>1</v>
      </c>
      <c r="AI159" t="s">
        <v>48</v>
      </c>
    </row>
    <row r="160" spans="1:35" x14ac:dyDescent="0.25">
      <c r="A160" t="s">
        <v>35</v>
      </c>
      <c r="B160" t="s">
        <v>59</v>
      </c>
      <c r="C160">
        <v>16</v>
      </c>
      <c r="D160" t="s">
        <v>63</v>
      </c>
      <c r="E160" t="s">
        <v>38</v>
      </c>
      <c r="F160" t="s">
        <v>49</v>
      </c>
      <c r="G160" t="s">
        <v>40</v>
      </c>
      <c r="H160">
        <v>2</v>
      </c>
      <c r="I160">
        <v>2</v>
      </c>
      <c r="J160" t="s">
        <v>41</v>
      </c>
      <c r="K160" t="s">
        <v>51</v>
      </c>
      <c r="L160">
        <v>1</v>
      </c>
      <c r="M160">
        <v>3</v>
      </c>
      <c r="N160" t="s">
        <v>44</v>
      </c>
      <c r="O160" t="s">
        <v>44</v>
      </c>
      <c r="P160" t="s">
        <v>44</v>
      </c>
      <c r="Q160" t="s">
        <v>44</v>
      </c>
      <c r="R160" t="s">
        <v>44</v>
      </c>
      <c r="S160" t="s">
        <v>44</v>
      </c>
      <c r="T160">
        <v>2</v>
      </c>
      <c r="U160">
        <v>2</v>
      </c>
      <c r="V160">
        <v>1</v>
      </c>
      <c r="W160">
        <v>2</v>
      </c>
      <c r="X160">
        <v>3</v>
      </c>
      <c r="Y160">
        <v>0</v>
      </c>
      <c r="Z160">
        <v>2</v>
      </c>
      <c r="AA160">
        <v>17</v>
      </c>
      <c r="AB160">
        <v>15</v>
      </c>
      <c r="AC160">
        <v>15</v>
      </c>
      <c r="AD160" t="s">
        <v>55</v>
      </c>
      <c r="AE160" t="s">
        <v>56</v>
      </c>
      <c r="AF160" t="s">
        <v>52</v>
      </c>
      <c r="AG160" t="s">
        <v>61</v>
      </c>
      <c r="AH160">
        <v>-2</v>
      </c>
      <c r="AI160" t="s">
        <v>60</v>
      </c>
    </row>
    <row r="161" spans="1:35" x14ac:dyDescent="0.25">
      <c r="A161" t="s">
        <v>35</v>
      </c>
      <c r="B161" t="s">
        <v>59</v>
      </c>
      <c r="C161">
        <v>16</v>
      </c>
      <c r="D161" t="s">
        <v>37</v>
      </c>
      <c r="E161" t="s">
        <v>38</v>
      </c>
      <c r="F161" t="s">
        <v>49</v>
      </c>
      <c r="G161" t="s">
        <v>50</v>
      </c>
      <c r="H161">
        <v>3</v>
      </c>
      <c r="I161">
        <v>3</v>
      </c>
      <c r="J161" t="s">
        <v>51</v>
      </c>
      <c r="K161" t="s">
        <v>54</v>
      </c>
      <c r="L161">
        <v>2</v>
      </c>
      <c r="M161">
        <v>1</v>
      </c>
      <c r="N161" t="s">
        <v>44</v>
      </c>
      <c r="O161" t="s">
        <v>43</v>
      </c>
      <c r="P161" t="s">
        <v>43</v>
      </c>
      <c r="Q161" t="s">
        <v>44</v>
      </c>
      <c r="R161" t="s">
        <v>43</v>
      </c>
      <c r="S161" t="s">
        <v>43</v>
      </c>
      <c r="T161">
        <v>5</v>
      </c>
      <c r="U161">
        <v>5</v>
      </c>
      <c r="V161">
        <v>4</v>
      </c>
      <c r="W161">
        <v>4</v>
      </c>
      <c r="X161">
        <v>5</v>
      </c>
      <c r="Y161">
        <v>1</v>
      </c>
      <c r="Z161">
        <v>4</v>
      </c>
      <c r="AA161">
        <v>10</v>
      </c>
      <c r="AB161">
        <v>12</v>
      </c>
      <c r="AC161">
        <v>12</v>
      </c>
      <c r="AD161" t="s">
        <v>46</v>
      </c>
      <c r="AE161" t="s">
        <v>45</v>
      </c>
      <c r="AF161" t="s">
        <v>52</v>
      </c>
      <c r="AG161" t="s">
        <v>47</v>
      </c>
      <c r="AH161">
        <v>2</v>
      </c>
      <c r="AI161" t="s">
        <v>48</v>
      </c>
    </row>
    <row r="162" spans="1:35" x14ac:dyDescent="0.25">
      <c r="A162" t="s">
        <v>35</v>
      </c>
      <c r="B162" t="s">
        <v>59</v>
      </c>
      <c r="C162">
        <v>17</v>
      </c>
      <c r="D162" t="s">
        <v>63</v>
      </c>
      <c r="E162" t="s">
        <v>53</v>
      </c>
      <c r="F162" t="s">
        <v>49</v>
      </c>
      <c r="G162" t="s">
        <v>40</v>
      </c>
      <c r="H162">
        <v>2</v>
      </c>
      <c r="I162">
        <v>1</v>
      </c>
      <c r="J162" t="s">
        <v>41</v>
      </c>
      <c r="K162" t="s">
        <v>51</v>
      </c>
      <c r="L162">
        <v>1</v>
      </c>
      <c r="M162">
        <v>2</v>
      </c>
      <c r="N162" t="s">
        <v>44</v>
      </c>
      <c r="O162" t="s">
        <v>44</v>
      </c>
      <c r="P162" t="s">
        <v>44</v>
      </c>
      <c r="Q162" t="s">
        <v>43</v>
      </c>
      <c r="R162" t="s">
        <v>43</v>
      </c>
      <c r="S162" t="s">
        <v>43</v>
      </c>
      <c r="T162">
        <v>3</v>
      </c>
      <c r="U162">
        <v>2</v>
      </c>
      <c r="V162">
        <v>2</v>
      </c>
      <c r="W162">
        <v>2</v>
      </c>
      <c r="X162">
        <v>5</v>
      </c>
      <c r="Y162">
        <v>2</v>
      </c>
      <c r="Z162">
        <v>0</v>
      </c>
      <c r="AA162">
        <v>7</v>
      </c>
      <c r="AB162">
        <v>6</v>
      </c>
      <c r="AC162">
        <v>0</v>
      </c>
      <c r="AD162" t="s">
        <v>45</v>
      </c>
      <c r="AE162" t="s">
        <v>45</v>
      </c>
      <c r="AF162" t="s">
        <v>52</v>
      </c>
      <c r="AG162" t="s">
        <v>61</v>
      </c>
      <c r="AH162">
        <v>-7</v>
      </c>
      <c r="AI162" t="s">
        <v>60</v>
      </c>
    </row>
    <row r="163" spans="1:35" x14ac:dyDescent="0.25">
      <c r="A163" t="s">
        <v>35</v>
      </c>
      <c r="B163" t="s">
        <v>59</v>
      </c>
      <c r="C163">
        <v>15</v>
      </c>
      <c r="D163" t="s">
        <v>63</v>
      </c>
      <c r="E163" t="s">
        <v>38</v>
      </c>
      <c r="F163" t="s">
        <v>49</v>
      </c>
      <c r="G163" t="s">
        <v>40</v>
      </c>
      <c r="H163">
        <v>3</v>
      </c>
      <c r="I163">
        <v>2</v>
      </c>
      <c r="J163" t="s">
        <v>51</v>
      </c>
      <c r="K163" t="s">
        <v>51</v>
      </c>
      <c r="L163">
        <v>2</v>
      </c>
      <c r="M163">
        <v>2</v>
      </c>
      <c r="N163" t="s">
        <v>43</v>
      </c>
      <c r="O163" t="s">
        <v>43</v>
      </c>
      <c r="P163" t="s">
        <v>44</v>
      </c>
      <c r="Q163" t="s">
        <v>44</v>
      </c>
      <c r="R163" t="s">
        <v>43</v>
      </c>
      <c r="S163" t="s">
        <v>43</v>
      </c>
      <c r="T163">
        <v>4</v>
      </c>
      <c r="U163">
        <v>4</v>
      </c>
      <c r="V163">
        <v>1</v>
      </c>
      <c r="W163">
        <v>4</v>
      </c>
      <c r="X163">
        <v>3</v>
      </c>
      <c r="Y163">
        <v>2</v>
      </c>
      <c r="Z163">
        <v>6</v>
      </c>
      <c r="AA163">
        <v>5</v>
      </c>
      <c r="AB163">
        <v>9</v>
      </c>
      <c r="AC163">
        <v>7</v>
      </c>
      <c r="AD163" t="s">
        <v>45</v>
      </c>
      <c r="AE163" t="s">
        <v>45</v>
      </c>
      <c r="AF163" t="s">
        <v>46</v>
      </c>
      <c r="AG163" t="s">
        <v>47</v>
      </c>
      <c r="AH163">
        <v>2</v>
      </c>
      <c r="AI163" t="s">
        <v>48</v>
      </c>
    </row>
    <row r="164" spans="1:35" x14ac:dyDescent="0.25">
      <c r="A164" t="s">
        <v>35</v>
      </c>
      <c r="B164" t="s">
        <v>59</v>
      </c>
      <c r="C164">
        <v>16</v>
      </c>
      <c r="D164" t="s">
        <v>37</v>
      </c>
      <c r="E164" t="s">
        <v>53</v>
      </c>
      <c r="F164" t="s">
        <v>49</v>
      </c>
      <c r="G164" t="s">
        <v>40</v>
      </c>
      <c r="H164">
        <v>1</v>
      </c>
      <c r="I164">
        <v>2</v>
      </c>
      <c r="J164" t="s">
        <v>51</v>
      </c>
      <c r="K164" t="s">
        <v>51</v>
      </c>
      <c r="L164">
        <v>1</v>
      </c>
      <c r="M164">
        <v>2</v>
      </c>
      <c r="N164" t="s">
        <v>44</v>
      </c>
      <c r="O164" t="s">
        <v>44</v>
      </c>
      <c r="P164" t="s">
        <v>44</v>
      </c>
      <c r="Q164" t="s">
        <v>43</v>
      </c>
      <c r="R164" t="s">
        <v>44</v>
      </c>
      <c r="S164" t="s">
        <v>44</v>
      </c>
      <c r="T164">
        <v>4</v>
      </c>
      <c r="U164">
        <v>4</v>
      </c>
      <c r="V164">
        <v>2</v>
      </c>
      <c r="W164">
        <v>4</v>
      </c>
      <c r="X164">
        <v>5</v>
      </c>
      <c r="Y164">
        <v>1</v>
      </c>
      <c r="Z164">
        <v>0</v>
      </c>
      <c r="AA164">
        <v>7</v>
      </c>
      <c r="AB164">
        <v>0</v>
      </c>
      <c r="AC164">
        <v>0</v>
      </c>
      <c r="AD164" t="s">
        <v>45</v>
      </c>
      <c r="AE164" t="s">
        <v>45</v>
      </c>
      <c r="AF164" t="s">
        <v>52</v>
      </c>
      <c r="AG164" t="s">
        <v>61</v>
      </c>
      <c r="AH164">
        <v>-7</v>
      </c>
      <c r="AI164" t="s">
        <v>60</v>
      </c>
    </row>
    <row r="165" spans="1:35" x14ac:dyDescent="0.25">
      <c r="A165" t="s">
        <v>35</v>
      </c>
      <c r="B165" t="s">
        <v>59</v>
      </c>
      <c r="C165">
        <v>17</v>
      </c>
      <c r="D165" t="s">
        <v>37</v>
      </c>
      <c r="E165" t="s">
        <v>38</v>
      </c>
      <c r="F165" t="s">
        <v>49</v>
      </c>
      <c r="G165" t="s">
        <v>50</v>
      </c>
      <c r="H165">
        <v>1</v>
      </c>
      <c r="I165">
        <v>3</v>
      </c>
      <c r="J165" t="s">
        <v>41</v>
      </c>
      <c r="K165" t="s">
        <v>54</v>
      </c>
      <c r="L165">
        <v>1</v>
      </c>
      <c r="M165">
        <v>1</v>
      </c>
      <c r="N165" t="s">
        <v>44</v>
      </c>
      <c r="O165" t="s">
        <v>44</v>
      </c>
      <c r="P165" t="s">
        <v>44</v>
      </c>
      <c r="Q165" t="s">
        <v>44</v>
      </c>
      <c r="R165" t="s">
        <v>43</v>
      </c>
      <c r="S165" t="s">
        <v>44</v>
      </c>
      <c r="T165">
        <v>3</v>
      </c>
      <c r="U165">
        <v>3</v>
      </c>
      <c r="V165">
        <v>1</v>
      </c>
      <c r="W165">
        <v>4</v>
      </c>
      <c r="X165">
        <v>2</v>
      </c>
      <c r="Y165">
        <v>0</v>
      </c>
      <c r="Z165">
        <v>2</v>
      </c>
      <c r="AA165">
        <v>10</v>
      </c>
      <c r="AB165">
        <v>10</v>
      </c>
      <c r="AC165">
        <v>10</v>
      </c>
      <c r="AD165" t="s">
        <v>46</v>
      </c>
      <c r="AE165" t="s">
        <v>56</v>
      </c>
      <c r="AF165" t="s">
        <v>52</v>
      </c>
      <c r="AG165" t="s">
        <v>61</v>
      </c>
      <c r="AH165">
        <v>0</v>
      </c>
      <c r="AI165" t="s">
        <v>58</v>
      </c>
    </row>
    <row r="166" spans="1:35" x14ac:dyDescent="0.25">
      <c r="A166" t="s">
        <v>35</v>
      </c>
      <c r="B166" t="s">
        <v>59</v>
      </c>
      <c r="C166">
        <v>17</v>
      </c>
      <c r="D166" t="s">
        <v>63</v>
      </c>
      <c r="E166" t="s">
        <v>53</v>
      </c>
      <c r="F166" t="s">
        <v>49</v>
      </c>
      <c r="G166" t="s">
        <v>40</v>
      </c>
      <c r="H166">
        <v>1</v>
      </c>
      <c r="I166">
        <v>1</v>
      </c>
      <c r="J166" t="s">
        <v>51</v>
      </c>
      <c r="K166" t="s">
        <v>54</v>
      </c>
      <c r="L166">
        <v>2</v>
      </c>
      <c r="M166">
        <v>4</v>
      </c>
      <c r="N166" t="s">
        <v>44</v>
      </c>
      <c r="O166" t="s">
        <v>44</v>
      </c>
      <c r="P166" t="s">
        <v>44</v>
      </c>
      <c r="Q166" t="s">
        <v>43</v>
      </c>
      <c r="R166" t="s">
        <v>44</v>
      </c>
      <c r="S166" t="s">
        <v>43</v>
      </c>
      <c r="T166">
        <v>3</v>
      </c>
      <c r="U166">
        <v>5</v>
      </c>
      <c r="V166">
        <v>1</v>
      </c>
      <c r="W166">
        <v>5</v>
      </c>
      <c r="X166">
        <v>5</v>
      </c>
      <c r="Y166">
        <v>3</v>
      </c>
      <c r="Z166">
        <v>0</v>
      </c>
      <c r="AA166">
        <v>5</v>
      </c>
      <c r="AB166">
        <v>8</v>
      </c>
      <c r="AC166">
        <v>7</v>
      </c>
      <c r="AD166" t="s">
        <v>45</v>
      </c>
      <c r="AE166" t="s">
        <v>45</v>
      </c>
      <c r="AF166" t="s">
        <v>52</v>
      </c>
      <c r="AG166" t="s">
        <v>47</v>
      </c>
      <c r="AH166">
        <v>2</v>
      </c>
      <c r="AI166" t="s">
        <v>48</v>
      </c>
    </row>
    <row r="167" spans="1:35" x14ac:dyDescent="0.25">
      <c r="A167" t="s">
        <v>35</v>
      </c>
      <c r="B167" t="s">
        <v>59</v>
      </c>
      <c r="C167">
        <v>16</v>
      </c>
      <c r="D167" t="s">
        <v>37</v>
      </c>
      <c r="E167" t="s">
        <v>38</v>
      </c>
      <c r="F167" t="s">
        <v>49</v>
      </c>
      <c r="G167" t="s">
        <v>40</v>
      </c>
      <c r="H167">
        <v>3</v>
      </c>
      <c r="I167">
        <v>2</v>
      </c>
      <c r="J167" t="s">
        <v>54</v>
      </c>
      <c r="K167" t="s">
        <v>54</v>
      </c>
      <c r="L167">
        <v>1</v>
      </c>
      <c r="M167">
        <v>2</v>
      </c>
      <c r="N167" t="s">
        <v>44</v>
      </c>
      <c r="O167" t="s">
        <v>43</v>
      </c>
      <c r="P167" t="s">
        <v>44</v>
      </c>
      <c r="Q167" t="s">
        <v>43</v>
      </c>
      <c r="R167" t="s">
        <v>44</v>
      </c>
      <c r="S167" t="s">
        <v>44</v>
      </c>
      <c r="T167">
        <v>5</v>
      </c>
      <c r="U167">
        <v>2</v>
      </c>
      <c r="V167">
        <v>1</v>
      </c>
      <c r="W167">
        <v>1</v>
      </c>
      <c r="X167">
        <v>2</v>
      </c>
      <c r="Y167">
        <v>1</v>
      </c>
      <c r="Z167">
        <v>16</v>
      </c>
      <c r="AA167">
        <v>12</v>
      </c>
      <c r="AB167">
        <v>11</v>
      </c>
      <c r="AC167">
        <v>12</v>
      </c>
      <c r="AD167" t="s">
        <v>46</v>
      </c>
      <c r="AE167" t="s">
        <v>45</v>
      </c>
      <c r="AF167" t="s">
        <v>62</v>
      </c>
      <c r="AG167" t="s">
        <v>61</v>
      </c>
      <c r="AH167">
        <v>0</v>
      </c>
      <c r="AI167" t="s">
        <v>58</v>
      </c>
    </row>
    <row r="168" spans="1:35" x14ac:dyDescent="0.25">
      <c r="A168" t="s">
        <v>35</v>
      </c>
      <c r="B168" t="s">
        <v>59</v>
      </c>
      <c r="C168">
        <v>16</v>
      </c>
      <c r="D168" t="s">
        <v>37</v>
      </c>
      <c r="E168" t="s">
        <v>38</v>
      </c>
      <c r="F168" t="s">
        <v>49</v>
      </c>
      <c r="G168" t="s">
        <v>50</v>
      </c>
      <c r="H168">
        <v>2</v>
      </c>
      <c r="I168">
        <v>2</v>
      </c>
      <c r="J168" t="s">
        <v>51</v>
      </c>
      <c r="K168" t="s">
        <v>51</v>
      </c>
      <c r="L168">
        <v>2</v>
      </c>
      <c r="M168">
        <v>1</v>
      </c>
      <c r="N168" t="s">
        <v>44</v>
      </c>
      <c r="O168" t="s">
        <v>44</v>
      </c>
      <c r="P168" t="s">
        <v>44</v>
      </c>
      <c r="Q168" t="s">
        <v>44</v>
      </c>
      <c r="R168" t="s">
        <v>43</v>
      </c>
      <c r="S168" t="s">
        <v>44</v>
      </c>
      <c r="T168">
        <v>3</v>
      </c>
      <c r="U168">
        <v>5</v>
      </c>
      <c r="V168">
        <v>2</v>
      </c>
      <c r="W168">
        <v>4</v>
      </c>
      <c r="X168">
        <v>4</v>
      </c>
      <c r="Y168">
        <v>0</v>
      </c>
      <c r="Z168">
        <v>4</v>
      </c>
      <c r="AA168">
        <v>10</v>
      </c>
      <c r="AB168">
        <v>10</v>
      </c>
      <c r="AC168">
        <v>10</v>
      </c>
      <c r="AD168" t="s">
        <v>46</v>
      </c>
      <c r="AE168" t="s">
        <v>56</v>
      </c>
      <c r="AF168" t="s">
        <v>52</v>
      </c>
      <c r="AG168" t="s">
        <v>47</v>
      </c>
      <c r="AH168">
        <v>0</v>
      </c>
      <c r="AI168" t="s">
        <v>58</v>
      </c>
    </row>
    <row r="169" spans="1:35" x14ac:dyDescent="0.25">
      <c r="A169" t="s">
        <v>35</v>
      </c>
      <c r="B169" t="s">
        <v>36</v>
      </c>
      <c r="C169">
        <v>16</v>
      </c>
      <c r="D169" t="s">
        <v>37</v>
      </c>
      <c r="E169" t="s">
        <v>38</v>
      </c>
      <c r="F169" t="s">
        <v>49</v>
      </c>
      <c r="G169" t="s">
        <v>50</v>
      </c>
      <c r="H169">
        <v>4</v>
      </c>
      <c r="I169">
        <v>2</v>
      </c>
      <c r="J169" t="s">
        <v>23</v>
      </c>
      <c r="K169" t="s">
        <v>54</v>
      </c>
      <c r="L169">
        <v>2</v>
      </c>
      <c r="M169">
        <v>1</v>
      </c>
      <c r="N169" t="s">
        <v>44</v>
      </c>
      <c r="O169" t="s">
        <v>44</v>
      </c>
      <c r="P169" t="s">
        <v>43</v>
      </c>
      <c r="Q169" t="s">
        <v>44</v>
      </c>
      <c r="R169" t="s">
        <v>43</v>
      </c>
      <c r="S169" t="s">
        <v>43</v>
      </c>
      <c r="T169">
        <v>2</v>
      </c>
      <c r="U169">
        <v>3</v>
      </c>
      <c r="V169">
        <v>1</v>
      </c>
      <c r="W169">
        <v>1</v>
      </c>
      <c r="X169">
        <v>3</v>
      </c>
      <c r="Y169">
        <v>0</v>
      </c>
      <c r="Z169">
        <v>0</v>
      </c>
      <c r="AA169">
        <v>14</v>
      </c>
      <c r="AB169">
        <v>15</v>
      </c>
      <c r="AC169">
        <v>16</v>
      </c>
      <c r="AD169" t="s">
        <v>55</v>
      </c>
      <c r="AE169" t="s">
        <v>56</v>
      </c>
      <c r="AF169" t="s">
        <v>52</v>
      </c>
      <c r="AG169" t="s">
        <v>47</v>
      </c>
      <c r="AH169">
        <v>2</v>
      </c>
      <c r="AI169" t="s">
        <v>48</v>
      </c>
    </row>
    <row r="170" spans="1:35" x14ac:dyDescent="0.25">
      <c r="A170" t="s">
        <v>35</v>
      </c>
      <c r="B170" t="s">
        <v>36</v>
      </c>
      <c r="C170">
        <v>16</v>
      </c>
      <c r="D170" t="s">
        <v>37</v>
      </c>
      <c r="E170" t="s">
        <v>38</v>
      </c>
      <c r="F170" t="s">
        <v>49</v>
      </c>
      <c r="G170" t="s">
        <v>40</v>
      </c>
      <c r="H170">
        <v>2</v>
      </c>
      <c r="I170">
        <v>2</v>
      </c>
      <c r="J170" t="s">
        <v>51</v>
      </c>
      <c r="K170" t="s">
        <v>51</v>
      </c>
      <c r="L170">
        <v>2</v>
      </c>
      <c r="M170">
        <v>1</v>
      </c>
      <c r="N170" t="s">
        <v>44</v>
      </c>
      <c r="O170" t="s">
        <v>43</v>
      </c>
      <c r="P170" t="s">
        <v>43</v>
      </c>
      <c r="Q170" t="s">
        <v>44</v>
      </c>
      <c r="R170" t="s">
        <v>43</v>
      </c>
      <c r="S170" t="s">
        <v>44</v>
      </c>
      <c r="T170">
        <v>1</v>
      </c>
      <c r="U170">
        <v>5</v>
      </c>
      <c r="V170">
        <v>1</v>
      </c>
      <c r="W170">
        <v>1</v>
      </c>
      <c r="X170">
        <v>4</v>
      </c>
      <c r="Y170">
        <v>0</v>
      </c>
      <c r="Z170">
        <v>0</v>
      </c>
      <c r="AA170">
        <v>6</v>
      </c>
      <c r="AB170">
        <v>7</v>
      </c>
      <c r="AC170">
        <v>0</v>
      </c>
      <c r="AD170" t="s">
        <v>45</v>
      </c>
      <c r="AE170" t="s">
        <v>45</v>
      </c>
      <c r="AF170" t="s">
        <v>52</v>
      </c>
      <c r="AG170" t="s">
        <v>47</v>
      </c>
      <c r="AH170">
        <v>-6</v>
      </c>
      <c r="AI170" t="s">
        <v>60</v>
      </c>
    </row>
    <row r="171" spans="1:35" x14ac:dyDescent="0.25">
      <c r="A171" t="s">
        <v>35</v>
      </c>
      <c r="B171" t="s">
        <v>36</v>
      </c>
      <c r="C171">
        <v>16</v>
      </c>
      <c r="D171" t="s">
        <v>37</v>
      </c>
      <c r="E171" t="s">
        <v>38</v>
      </c>
      <c r="F171" t="s">
        <v>49</v>
      </c>
      <c r="G171" t="s">
        <v>40</v>
      </c>
      <c r="H171">
        <v>4</v>
      </c>
      <c r="I171">
        <v>4</v>
      </c>
      <c r="J171" t="s">
        <v>23</v>
      </c>
      <c r="K171" t="s">
        <v>23</v>
      </c>
      <c r="L171">
        <v>2</v>
      </c>
      <c r="M171">
        <v>1</v>
      </c>
      <c r="N171" t="s">
        <v>44</v>
      </c>
      <c r="O171" t="s">
        <v>43</v>
      </c>
      <c r="P171" t="s">
        <v>43</v>
      </c>
      <c r="Q171" t="s">
        <v>44</v>
      </c>
      <c r="R171" t="s">
        <v>43</v>
      </c>
      <c r="S171" t="s">
        <v>43</v>
      </c>
      <c r="T171">
        <v>4</v>
      </c>
      <c r="U171">
        <v>2</v>
      </c>
      <c r="V171">
        <v>1</v>
      </c>
      <c r="W171">
        <v>1</v>
      </c>
      <c r="X171">
        <v>3</v>
      </c>
      <c r="Y171">
        <v>0</v>
      </c>
      <c r="Z171">
        <v>0</v>
      </c>
      <c r="AA171">
        <v>14</v>
      </c>
      <c r="AB171">
        <v>14</v>
      </c>
      <c r="AC171">
        <v>14</v>
      </c>
      <c r="AD171" t="s">
        <v>55</v>
      </c>
      <c r="AE171" t="s">
        <v>56</v>
      </c>
      <c r="AF171" t="s">
        <v>52</v>
      </c>
      <c r="AG171" t="s">
        <v>47</v>
      </c>
      <c r="AH171">
        <v>0</v>
      </c>
      <c r="AI171" t="s">
        <v>58</v>
      </c>
    </row>
    <row r="172" spans="1:35" x14ac:dyDescent="0.25">
      <c r="A172" t="s">
        <v>35</v>
      </c>
      <c r="B172" t="s">
        <v>59</v>
      </c>
      <c r="C172">
        <v>16</v>
      </c>
      <c r="D172" t="s">
        <v>37</v>
      </c>
      <c r="E172" t="s">
        <v>38</v>
      </c>
      <c r="F172" t="s">
        <v>49</v>
      </c>
      <c r="G172" t="s">
        <v>50</v>
      </c>
      <c r="H172">
        <v>3</v>
      </c>
      <c r="I172">
        <v>4</v>
      </c>
      <c r="J172" t="s">
        <v>51</v>
      </c>
      <c r="K172" t="s">
        <v>51</v>
      </c>
      <c r="L172">
        <v>1</v>
      </c>
      <c r="M172">
        <v>3</v>
      </c>
      <c r="N172" t="s">
        <v>44</v>
      </c>
      <c r="O172" t="s">
        <v>43</v>
      </c>
      <c r="P172" t="s">
        <v>44</v>
      </c>
      <c r="Q172" t="s">
        <v>43</v>
      </c>
      <c r="R172" t="s">
        <v>43</v>
      </c>
      <c r="S172" t="s">
        <v>44</v>
      </c>
      <c r="T172">
        <v>4</v>
      </c>
      <c r="U172">
        <v>5</v>
      </c>
      <c r="V172">
        <v>2</v>
      </c>
      <c r="W172">
        <v>4</v>
      </c>
      <c r="X172">
        <v>2</v>
      </c>
      <c r="Y172">
        <v>2</v>
      </c>
      <c r="Z172">
        <v>0</v>
      </c>
      <c r="AA172">
        <v>6</v>
      </c>
      <c r="AB172">
        <v>5</v>
      </c>
      <c r="AC172">
        <v>0</v>
      </c>
      <c r="AD172" t="s">
        <v>45</v>
      </c>
      <c r="AE172" t="s">
        <v>45</v>
      </c>
      <c r="AF172" t="s">
        <v>52</v>
      </c>
      <c r="AG172" t="s">
        <v>61</v>
      </c>
      <c r="AH172">
        <v>-6</v>
      </c>
      <c r="AI172" t="s">
        <v>60</v>
      </c>
    </row>
    <row r="173" spans="1:35" x14ac:dyDescent="0.25">
      <c r="A173" t="s">
        <v>35</v>
      </c>
      <c r="B173" t="s">
        <v>59</v>
      </c>
      <c r="C173">
        <v>16</v>
      </c>
      <c r="D173" t="s">
        <v>37</v>
      </c>
      <c r="E173" t="s">
        <v>38</v>
      </c>
      <c r="F173" t="s">
        <v>49</v>
      </c>
      <c r="G173" t="s">
        <v>40</v>
      </c>
      <c r="H173">
        <v>1</v>
      </c>
      <c r="I173">
        <v>0</v>
      </c>
      <c r="J173" t="s">
        <v>51</v>
      </c>
      <c r="K173" t="s">
        <v>51</v>
      </c>
      <c r="L173">
        <v>2</v>
      </c>
      <c r="M173">
        <v>2</v>
      </c>
      <c r="N173" t="s">
        <v>44</v>
      </c>
      <c r="O173" t="s">
        <v>43</v>
      </c>
      <c r="P173" t="s">
        <v>43</v>
      </c>
      <c r="Q173" t="s">
        <v>43</v>
      </c>
      <c r="R173" t="s">
        <v>43</v>
      </c>
      <c r="S173" t="s">
        <v>43</v>
      </c>
      <c r="T173">
        <v>3</v>
      </c>
      <c r="U173">
        <v>2</v>
      </c>
      <c r="V173">
        <v>1</v>
      </c>
      <c r="W173">
        <v>1</v>
      </c>
      <c r="X173">
        <v>3</v>
      </c>
      <c r="Y173">
        <v>0</v>
      </c>
      <c r="Z173">
        <v>2</v>
      </c>
      <c r="AA173">
        <v>13</v>
      </c>
      <c r="AB173">
        <v>15</v>
      </c>
      <c r="AC173">
        <v>16</v>
      </c>
      <c r="AD173" t="s">
        <v>55</v>
      </c>
      <c r="AE173" t="s">
        <v>56</v>
      </c>
      <c r="AF173" t="s">
        <v>52</v>
      </c>
      <c r="AG173" t="s">
        <v>47</v>
      </c>
      <c r="AH173">
        <v>3</v>
      </c>
      <c r="AI173" t="s">
        <v>48</v>
      </c>
    </row>
    <row r="174" spans="1:35" x14ac:dyDescent="0.25">
      <c r="A174" t="s">
        <v>35</v>
      </c>
      <c r="B174" t="s">
        <v>59</v>
      </c>
      <c r="C174">
        <v>17</v>
      </c>
      <c r="D174" t="s">
        <v>37</v>
      </c>
      <c r="E174" t="s">
        <v>53</v>
      </c>
      <c r="F174" t="s">
        <v>49</v>
      </c>
      <c r="G174" t="s">
        <v>40</v>
      </c>
      <c r="H174">
        <v>4</v>
      </c>
      <c r="I174">
        <v>4</v>
      </c>
      <c r="J174" t="s">
        <v>42</v>
      </c>
      <c r="K174" t="s">
        <v>51</v>
      </c>
      <c r="L174">
        <v>2</v>
      </c>
      <c r="M174">
        <v>1</v>
      </c>
      <c r="N174" t="s">
        <v>44</v>
      </c>
      <c r="O174" t="s">
        <v>43</v>
      </c>
      <c r="P174" t="s">
        <v>43</v>
      </c>
      <c r="Q174" t="s">
        <v>43</v>
      </c>
      <c r="R174" t="s">
        <v>43</v>
      </c>
      <c r="S174" t="s">
        <v>44</v>
      </c>
      <c r="T174">
        <v>4</v>
      </c>
      <c r="U174">
        <v>4</v>
      </c>
      <c r="V174">
        <v>1</v>
      </c>
      <c r="W174">
        <v>3</v>
      </c>
      <c r="X174">
        <v>5</v>
      </c>
      <c r="Y174">
        <v>0</v>
      </c>
      <c r="Z174">
        <v>0</v>
      </c>
      <c r="AA174">
        <v>13</v>
      </c>
      <c r="AB174">
        <v>11</v>
      </c>
      <c r="AC174">
        <v>10</v>
      </c>
      <c r="AD174" t="s">
        <v>46</v>
      </c>
      <c r="AE174" t="s">
        <v>56</v>
      </c>
      <c r="AF174" t="s">
        <v>52</v>
      </c>
      <c r="AG174" t="s">
        <v>47</v>
      </c>
      <c r="AH174">
        <v>-3</v>
      </c>
      <c r="AI174" t="s">
        <v>60</v>
      </c>
    </row>
    <row r="175" spans="1:35" x14ac:dyDescent="0.25">
      <c r="A175" t="s">
        <v>35</v>
      </c>
      <c r="B175" t="s">
        <v>36</v>
      </c>
      <c r="C175">
        <v>16</v>
      </c>
      <c r="D175" t="s">
        <v>37</v>
      </c>
      <c r="E175" t="s">
        <v>38</v>
      </c>
      <c r="F175" t="s">
        <v>49</v>
      </c>
      <c r="G175" t="s">
        <v>40</v>
      </c>
      <c r="H175">
        <v>1</v>
      </c>
      <c r="I175">
        <v>3</v>
      </c>
      <c r="J175" t="s">
        <v>41</v>
      </c>
      <c r="K175" t="s">
        <v>54</v>
      </c>
      <c r="L175">
        <v>2</v>
      </c>
      <c r="M175">
        <v>1</v>
      </c>
      <c r="N175" t="s">
        <v>44</v>
      </c>
      <c r="O175" t="s">
        <v>44</v>
      </c>
      <c r="P175" t="s">
        <v>44</v>
      </c>
      <c r="Q175" t="s">
        <v>43</v>
      </c>
      <c r="R175" t="s">
        <v>43</v>
      </c>
      <c r="S175" t="s">
        <v>43</v>
      </c>
      <c r="T175">
        <v>3</v>
      </c>
      <c r="U175">
        <v>5</v>
      </c>
      <c r="V175">
        <v>1</v>
      </c>
      <c r="W175">
        <v>1</v>
      </c>
      <c r="X175">
        <v>3</v>
      </c>
      <c r="Y175">
        <v>3</v>
      </c>
      <c r="Z175">
        <v>0</v>
      </c>
      <c r="AA175">
        <v>8</v>
      </c>
      <c r="AB175">
        <v>7</v>
      </c>
      <c r="AC175">
        <v>0</v>
      </c>
      <c r="AD175" t="s">
        <v>45</v>
      </c>
      <c r="AE175" t="s">
        <v>45</v>
      </c>
      <c r="AF175" t="s">
        <v>52</v>
      </c>
      <c r="AG175" t="s">
        <v>47</v>
      </c>
      <c r="AH175">
        <v>-8</v>
      </c>
      <c r="AI175" t="s">
        <v>60</v>
      </c>
    </row>
    <row r="176" spans="1:35" x14ac:dyDescent="0.25">
      <c r="A176" t="s">
        <v>35</v>
      </c>
      <c r="B176" t="s">
        <v>36</v>
      </c>
      <c r="C176">
        <v>16</v>
      </c>
      <c r="D176" t="s">
        <v>37</v>
      </c>
      <c r="E176" t="s">
        <v>53</v>
      </c>
      <c r="F176" t="s">
        <v>49</v>
      </c>
      <c r="G176" t="s">
        <v>40</v>
      </c>
      <c r="H176">
        <v>3</v>
      </c>
      <c r="I176">
        <v>3</v>
      </c>
      <c r="J176" t="s">
        <v>51</v>
      </c>
      <c r="K176" t="s">
        <v>51</v>
      </c>
      <c r="L176">
        <v>2</v>
      </c>
      <c r="M176">
        <v>2</v>
      </c>
      <c r="N176" t="s">
        <v>44</v>
      </c>
      <c r="O176" t="s">
        <v>43</v>
      </c>
      <c r="P176" t="s">
        <v>43</v>
      </c>
      <c r="Q176" t="s">
        <v>43</v>
      </c>
      <c r="R176" t="s">
        <v>43</v>
      </c>
      <c r="S176" t="s">
        <v>44</v>
      </c>
      <c r="T176">
        <v>4</v>
      </c>
      <c r="U176">
        <v>5</v>
      </c>
      <c r="V176">
        <v>1</v>
      </c>
      <c r="W176">
        <v>1</v>
      </c>
      <c r="X176">
        <v>4</v>
      </c>
      <c r="Y176">
        <v>0</v>
      </c>
      <c r="Z176">
        <v>4</v>
      </c>
      <c r="AA176">
        <v>10</v>
      </c>
      <c r="AB176">
        <v>11</v>
      </c>
      <c r="AC176">
        <v>9</v>
      </c>
      <c r="AD176" t="s">
        <v>45</v>
      </c>
      <c r="AE176" t="s">
        <v>45</v>
      </c>
      <c r="AF176" t="s">
        <v>52</v>
      </c>
      <c r="AG176" t="s">
        <v>47</v>
      </c>
      <c r="AH176">
        <v>-1</v>
      </c>
      <c r="AI176" t="s">
        <v>60</v>
      </c>
    </row>
    <row r="177" spans="1:35" x14ac:dyDescent="0.25">
      <c r="A177" t="s">
        <v>35</v>
      </c>
      <c r="B177" t="s">
        <v>59</v>
      </c>
      <c r="C177">
        <v>17</v>
      </c>
      <c r="D177" t="s">
        <v>37</v>
      </c>
      <c r="E177" t="s">
        <v>53</v>
      </c>
      <c r="F177" t="s">
        <v>49</v>
      </c>
      <c r="G177" t="s">
        <v>40</v>
      </c>
      <c r="H177">
        <v>4</v>
      </c>
      <c r="I177">
        <v>3</v>
      </c>
      <c r="J177" t="s">
        <v>42</v>
      </c>
      <c r="K177" t="s">
        <v>51</v>
      </c>
      <c r="L177">
        <v>2</v>
      </c>
      <c r="M177">
        <v>2</v>
      </c>
      <c r="N177" t="s">
        <v>44</v>
      </c>
      <c r="O177" t="s">
        <v>44</v>
      </c>
      <c r="P177" t="s">
        <v>43</v>
      </c>
      <c r="Q177" t="s">
        <v>43</v>
      </c>
      <c r="R177" t="s">
        <v>43</v>
      </c>
      <c r="S177" t="s">
        <v>44</v>
      </c>
      <c r="T177">
        <v>4</v>
      </c>
      <c r="U177">
        <v>4</v>
      </c>
      <c r="V177">
        <v>4</v>
      </c>
      <c r="W177">
        <v>4</v>
      </c>
      <c r="X177">
        <v>4</v>
      </c>
      <c r="Y177">
        <v>0</v>
      </c>
      <c r="Z177">
        <v>4</v>
      </c>
      <c r="AA177">
        <v>10</v>
      </c>
      <c r="AB177">
        <v>9</v>
      </c>
      <c r="AC177">
        <v>9</v>
      </c>
      <c r="AD177" t="s">
        <v>45</v>
      </c>
      <c r="AE177" t="s">
        <v>45</v>
      </c>
      <c r="AF177" t="s">
        <v>52</v>
      </c>
      <c r="AG177" t="s">
        <v>47</v>
      </c>
      <c r="AH177">
        <v>-1</v>
      </c>
      <c r="AI177" t="s">
        <v>60</v>
      </c>
    </row>
    <row r="178" spans="1:35" x14ac:dyDescent="0.25">
      <c r="A178" t="s">
        <v>35</v>
      </c>
      <c r="B178" t="s">
        <v>36</v>
      </c>
      <c r="C178">
        <v>16</v>
      </c>
      <c r="D178" t="s">
        <v>37</v>
      </c>
      <c r="E178" t="s">
        <v>38</v>
      </c>
      <c r="F178" t="s">
        <v>49</v>
      </c>
      <c r="G178" t="s">
        <v>40</v>
      </c>
      <c r="H178">
        <v>2</v>
      </c>
      <c r="I178">
        <v>2</v>
      </c>
      <c r="J178" t="s">
        <v>54</v>
      </c>
      <c r="K178" t="s">
        <v>51</v>
      </c>
      <c r="L178">
        <v>2</v>
      </c>
      <c r="M178">
        <v>2</v>
      </c>
      <c r="N178" t="s">
        <v>44</v>
      </c>
      <c r="O178" t="s">
        <v>44</v>
      </c>
      <c r="P178" t="s">
        <v>43</v>
      </c>
      <c r="Q178" t="s">
        <v>43</v>
      </c>
      <c r="R178" t="s">
        <v>43</v>
      </c>
      <c r="S178" t="s">
        <v>44</v>
      </c>
      <c r="T178">
        <v>4</v>
      </c>
      <c r="U178">
        <v>4</v>
      </c>
      <c r="V178">
        <v>1</v>
      </c>
      <c r="W178">
        <v>4</v>
      </c>
      <c r="X178">
        <v>5</v>
      </c>
      <c r="Y178">
        <v>0</v>
      </c>
      <c r="Z178">
        <v>2</v>
      </c>
      <c r="AA178">
        <v>13</v>
      </c>
      <c r="AB178">
        <v>13</v>
      </c>
      <c r="AC178">
        <v>11</v>
      </c>
      <c r="AD178" t="s">
        <v>46</v>
      </c>
      <c r="AE178" t="s">
        <v>56</v>
      </c>
      <c r="AF178" t="s">
        <v>52</v>
      </c>
      <c r="AG178" t="s">
        <v>47</v>
      </c>
      <c r="AH178">
        <v>-2</v>
      </c>
      <c r="AI178" t="s">
        <v>60</v>
      </c>
    </row>
    <row r="179" spans="1:35" x14ac:dyDescent="0.25">
      <c r="A179" t="s">
        <v>35</v>
      </c>
      <c r="B179" t="s">
        <v>59</v>
      </c>
      <c r="C179">
        <v>17</v>
      </c>
      <c r="D179" t="s">
        <v>37</v>
      </c>
      <c r="E179" t="s">
        <v>38</v>
      </c>
      <c r="F179" t="s">
        <v>49</v>
      </c>
      <c r="G179" t="s">
        <v>50</v>
      </c>
      <c r="H179">
        <v>3</v>
      </c>
      <c r="I179">
        <v>3</v>
      </c>
      <c r="J179" t="s">
        <v>51</v>
      </c>
      <c r="K179" t="s">
        <v>51</v>
      </c>
      <c r="L179">
        <v>2</v>
      </c>
      <c r="M179">
        <v>1</v>
      </c>
      <c r="N179" t="s">
        <v>44</v>
      </c>
      <c r="O179" t="s">
        <v>44</v>
      </c>
      <c r="P179" t="s">
        <v>44</v>
      </c>
      <c r="Q179" t="s">
        <v>43</v>
      </c>
      <c r="R179" t="s">
        <v>43</v>
      </c>
      <c r="S179" t="s">
        <v>44</v>
      </c>
      <c r="T179">
        <v>3</v>
      </c>
      <c r="U179">
        <v>4</v>
      </c>
      <c r="V179">
        <v>1</v>
      </c>
      <c r="W179">
        <v>4</v>
      </c>
      <c r="X179">
        <v>4</v>
      </c>
      <c r="Y179">
        <v>0</v>
      </c>
      <c r="Z179">
        <v>4</v>
      </c>
      <c r="AA179">
        <v>6</v>
      </c>
      <c r="AB179">
        <v>5</v>
      </c>
      <c r="AC179">
        <v>6</v>
      </c>
      <c r="AD179" t="s">
        <v>45</v>
      </c>
      <c r="AE179" t="s">
        <v>45</v>
      </c>
      <c r="AF179" t="s">
        <v>52</v>
      </c>
      <c r="AG179" t="s">
        <v>47</v>
      </c>
      <c r="AH179">
        <v>0</v>
      </c>
      <c r="AI179" t="s">
        <v>58</v>
      </c>
    </row>
    <row r="180" spans="1:35" x14ac:dyDescent="0.25">
      <c r="A180" t="s">
        <v>35</v>
      </c>
      <c r="B180" t="s">
        <v>59</v>
      </c>
      <c r="C180">
        <v>16</v>
      </c>
      <c r="D180" t="s">
        <v>63</v>
      </c>
      <c r="E180" t="s">
        <v>38</v>
      </c>
      <c r="F180" t="s">
        <v>49</v>
      </c>
      <c r="G180" t="s">
        <v>40</v>
      </c>
      <c r="H180">
        <v>4</v>
      </c>
      <c r="I180">
        <v>2</v>
      </c>
      <c r="J180" t="s">
        <v>42</v>
      </c>
      <c r="K180" t="s">
        <v>54</v>
      </c>
      <c r="L180">
        <v>1</v>
      </c>
      <c r="M180">
        <v>1</v>
      </c>
      <c r="N180" t="s">
        <v>44</v>
      </c>
      <c r="O180" t="s">
        <v>43</v>
      </c>
      <c r="P180" t="s">
        <v>44</v>
      </c>
      <c r="Q180" t="s">
        <v>43</v>
      </c>
      <c r="R180" t="s">
        <v>43</v>
      </c>
      <c r="S180" t="s">
        <v>43</v>
      </c>
      <c r="T180">
        <v>3</v>
      </c>
      <c r="U180">
        <v>3</v>
      </c>
      <c r="V180">
        <v>3</v>
      </c>
      <c r="W180">
        <v>4</v>
      </c>
      <c r="X180">
        <v>3</v>
      </c>
      <c r="Y180">
        <v>0</v>
      </c>
      <c r="Z180">
        <v>10</v>
      </c>
      <c r="AA180">
        <v>10</v>
      </c>
      <c r="AB180">
        <v>8</v>
      </c>
      <c r="AC180">
        <v>9</v>
      </c>
      <c r="AD180" t="s">
        <v>45</v>
      </c>
      <c r="AE180" t="s">
        <v>45</v>
      </c>
      <c r="AF180" t="s">
        <v>46</v>
      </c>
      <c r="AG180" t="s">
        <v>61</v>
      </c>
      <c r="AH180">
        <v>-1</v>
      </c>
      <c r="AI180" t="s">
        <v>60</v>
      </c>
    </row>
    <row r="181" spans="1:35" x14ac:dyDescent="0.25">
      <c r="A181" t="s">
        <v>35</v>
      </c>
      <c r="B181" t="s">
        <v>59</v>
      </c>
      <c r="C181">
        <v>17</v>
      </c>
      <c r="D181" t="s">
        <v>37</v>
      </c>
      <c r="E181" t="s">
        <v>38</v>
      </c>
      <c r="F181" t="s">
        <v>49</v>
      </c>
      <c r="G181" t="s">
        <v>40</v>
      </c>
      <c r="H181">
        <v>4</v>
      </c>
      <c r="I181">
        <v>3</v>
      </c>
      <c r="J181" t="s">
        <v>51</v>
      </c>
      <c r="K181" t="s">
        <v>51</v>
      </c>
      <c r="L181">
        <v>2</v>
      </c>
      <c r="M181">
        <v>1</v>
      </c>
      <c r="N181" t="s">
        <v>44</v>
      </c>
      <c r="O181" t="s">
        <v>43</v>
      </c>
      <c r="P181" t="s">
        <v>44</v>
      </c>
      <c r="Q181" t="s">
        <v>43</v>
      </c>
      <c r="R181" t="s">
        <v>43</v>
      </c>
      <c r="S181" t="s">
        <v>43</v>
      </c>
      <c r="T181">
        <v>2</v>
      </c>
      <c r="U181">
        <v>3</v>
      </c>
      <c r="V181">
        <v>1</v>
      </c>
      <c r="W181">
        <v>1</v>
      </c>
      <c r="X181">
        <v>2</v>
      </c>
      <c r="Y181">
        <v>0</v>
      </c>
      <c r="Z181">
        <v>4</v>
      </c>
      <c r="AA181">
        <v>10</v>
      </c>
      <c r="AB181">
        <v>10</v>
      </c>
      <c r="AC181">
        <v>11</v>
      </c>
      <c r="AD181" t="s">
        <v>46</v>
      </c>
      <c r="AE181" t="s">
        <v>56</v>
      </c>
      <c r="AF181" t="s">
        <v>52</v>
      </c>
      <c r="AG181" t="s">
        <v>47</v>
      </c>
      <c r="AH181">
        <v>1</v>
      </c>
      <c r="AI181" t="s">
        <v>48</v>
      </c>
    </row>
    <row r="182" spans="1:35" x14ac:dyDescent="0.25">
      <c r="A182" t="s">
        <v>35</v>
      </c>
      <c r="B182" t="s">
        <v>59</v>
      </c>
      <c r="C182">
        <v>16</v>
      </c>
      <c r="D182" t="s">
        <v>37</v>
      </c>
      <c r="E182" t="s">
        <v>38</v>
      </c>
      <c r="F182" t="s">
        <v>49</v>
      </c>
      <c r="G182" t="s">
        <v>40</v>
      </c>
      <c r="H182">
        <v>4</v>
      </c>
      <c r="I182">
        <v>3</v>
      </c>
      <c r="J182" t="s">
        <v>42</v>
      </c>
      <c r="K182" t="s">
        <v>51</v>
      </c>
      <c r="L182">
        <v>2</v>
      </c>
      <c r="M182">
        <v>1</v>
      </c>
      <c r="N182" t="s">
        <v>44</v>
      </c>
      <c r="O182" t="s">
        <v>43</v>
      </c>
      <c r="P182" t="s">
        <v>43</v>
      </c>
      <c r="Q182" t="s">
        <v>43</v>
      </c>
      <c r="R182" t="s">
        <v>43</v>
      </c>
      <c r="S182" t="s">
        <v>44</v>
      </c>
      <c r="T182">
        <v>4</v>
      </c>
      <c r="U182">
        <v>3</v>
      </c>
      <c r="V182">
        <v>2</v>
      </c>
      <c r="W182">
        <v>3</v>
      </c>
      <c r="X182">
        <v>3</v>
      </c>
      <c r="Y182">
        <v>0</v>
      </c>
      <c r="Z182">
        <v>10</v>
      </c>
      <c r="AA182">
        <v>9</v>
      </c>
      <c r="AB182">
        <v>8</v>
      </c>
      <c r="AC182">
        <v>8</v>
      </c>
      <c r="AD182" t="s">
        <v>45</v>
      </c>
      <c r="AE182" t="s">
        <v>45</v>
      </c>
      <c r="AF182" t="s">
        <v>46</v>
      </c>
      <c r="AG182" t="s">
        <v>47</v>
      </c>
      <c r="AH182">
        <v>-1</v>
      </c>
      <c r="AI182" t="s">
        <v>60</v>
      </c>
    </row>
    <row r="183" spans="1:35" x14ac:dyDescent="0.25">
      <c r="A183" t="s">
        <v>35</v>
      </c>
      <c r="B183" t="s">
        <v>59</v>
      </c>
      <c r="C183">
        <v>16</v>
      </c>
      <c r="D183" t="s">
        <v>37</v>
      </c>
      <c r="E183" t="s">
        <v>38</v>
      </c>
      <c r="F183" t="s">
        <v>49</v>
      </c>
      <c r="G183" t="s">
        <v>40</v>
      </c>
      <c r="H183">
        <v>3</v>
      </c>
      <c r="I183">
        <v>3</v>
      </c>
      <c r="J183" t="s">
        <v>54</v>
      </c>
      <c r="K183" t="s">
        <v>51</v>
      </c>
      <c r="L183">
        <v>2</v>
      </c>
      <c r="M183">
        <v>1</v>
      </c>
      <c r="N183" t="s">
        <v>44</v>
      </c>
      <c r="O183" t="s">
        <v>44</v>
      </c>
      <c r="P183" t="s">
        <v>43</v>
      </c>
      <c r="Q183" t="s">
        <v>43</v>
      </c>
      <c r="R183" t="s">
        <v>43</v>
      </c>
      <c r="S183" t="s">
        <v>43</v>
      </c>
      <c r="T183">
        <v>2</v>
      </c>
      <c r="U183">
        <v>3</v>
      </c>
      <c r="V183">
        <v>1</v>
      </c>
      <c r="W183">
        <v>2</v>
      </c>
      <c r="X183">
        <v>3</v>
      </c>
      <c r="Y183">
        <v>0</v>
      </c>
      <c r="Z183">
        <v>2</v>
      </c>
      <c r="AA183">
        <v>12</v>
      </c>
      <c r="AB183">
        <v>13</v>
      </c>
      <c r="AC183">
        <v>12</v>
      </c>
      <c r="AD183" t="s">
        <v>46</v>
      </c>
      <c r="AE183" t="s">
        <v>56</v>
      </c>
      <c r="AF183" t="s">
        <v>52</v>
      </c>
      <c r="AG183" t="s">
        <v>47</v>
      </c>
      <c r="AH183">
        <v>0</v>
      </c>
      <c r="AI183" t="s">
        <v>58</v>
      </c>
    </row>
    <row r="184" spans="1:35" x14ac:dyDescent="0.25">
      <c r="A184" t="s">
        <v>35</v>
      </c>
      <c r="B184" t="s">
        <v>36</v>
      </c>
      <c r="C184">
        <v>17</v>
      </c>
      <c r="D184" t="s">
        <v>37</v>
      </c>
      <c r="E184" t="s">
        <v>38</v>
      </c>
      <c r="F184" t="s">
        <v>49</v>
      </c>
      <c r="G184" t="s">
        <v>50</v>
      </c>
      <c r="H184">
        <v>2</v>
      </c>
      <c r="I184">
        <v>4</v>
      </c>
      <c r="J184" t="s">
        <v>54</v>
      </c>
      <c r="K184" t="s">
        <v>54</v>
      </c>
      <c r="L184">
        <v>2</v>
      </c>
      <c r="M184">
        <v>1</v>
      </c>
      <c r="N184" t="s">
        <v>44</v>
      </c>
      <c r="O184" t="s">
        <v>43</v>
      </c>
      <c r="P184" t="s">
        <v>44</v>
      </c>
      <c r="Q184" t="s">
        <v>43</v>
      </c>
      <c r="R184" t="s">
        <v>44</v>
      </c>
      <c r="S184" t="s">
        <v>44</v>
      </c>
      <c r="T184">
        <v>4</v>
      </c>
      <c r="U184">
        <v>2</v>
      </c>
      <c r="V184">
        <v>2</v>
      </c>
      <c r="W184">
        <v>3</v>
      </c>
      <c r="X184">
        <v>5</v>
      </c>
      <c r="Y184">
        <v>0</v>
      </c>
      <c r="Z184">
        <v>0</v>
      </c>
      <c r="AA184">
        <v>16</v>
      </c>
      <c r="AB184">
        <v>17</v>
      </c>
      <c r="AC184">
        <v>17</v>
      </c>
      <c r="AD184" t="s">
        <v>55</v>
      </c>
      <c r="AE184" t="s">
        <v>56</v>
      </c>
      <c r="AF184" t="s">
        <v>52</v>
      </c>
      <c r="AG184" t="s">
        <v>47</v>
      </c>
      <c r="AH184">
        <v>1</v>
      </c>
      <c r="AI184" t="s">
        <v>48</v>
      </c>
    </row>
    <row r="185" spans="1:35" x14ac:dyDescent="0.25">
      <c r="A185" t="s">
        <v>35</v>
      </c>
      <c r="B185" t="s">
        <v>36</v>
      </c>
      <c r="C185">
        <v>17</v>
      </c>
      <c r="D185" t="s">
        <v>37</v>
      </c>
      <c r="E185" t="s">
        <v>53</v>
      </c>
      <c r="F185" t="s">
        <v>49</v>
      </c>
      <c r="G185" t="s">
        <v>40</v>
      </c>
      <c r="H185">
        <v>3</v>
      </c>
      <c r="I185">
        <v>3</v>
      </c>
      <c r="J185" t="s">
        <v>51</v>
      </c>
      <c r="K185" t="s">
        <v>51</v>
      </c>
      <c r="L185">
        <v>2</v>
      </c>
      <c r="M185">
        <v>1</v>
      </c>
      <c r="N185" t="s">
        <v>44</v>
      </c>
      <c r="O185" t="s">
        <v>43</v>
      </c>
      <c r="P185" t="s">
        <v>44</v>
      </c>
      <c r="Q185" t="s">
        <v>43</v>
      </c>
      <c r="R185" t="s">
        <v>43</v>
      </c>
      <c r="S185" t="s">
        <v>43</v>
      </c>
      <c r="T185">
        <v>3</v>
      </c>
      <c r="U185">
        <v>3</v>
      </c>
      <c r="V185">
        <v>2</v>
      </c>
      <c r="W185">
        <v>3</v>
      </c>
      <c r="X185">
        <v>1</v>
      </c>
      <c r="Y185">
        <v>0</v>
      </c>
      <c r="Z185">
        <v>56</v>
      </c>
      <c r="AA185">
        <v>9</v>
      </c>
      <c r="AB185">
        <v>9</v>
      </c>
      <c r="AC185">
        <v>8</v>
      </c>
      <c r="AD185" t="s">
        <v>45</v>
      </c>
      <c r="AE185" t="s">
        <v>45</v>
      </c>
      <c r="AF185" t="s">
        <v>62</v>
      </c>
      <c r="AG185" t="s">
        <v>47</v>
      </c>
      <c r="AH185">
        <v>-1</v>
      </c>
      <c r="AI185" t="s">
        <v>60</v>
      </c>
    </row>
    <row r="186" spans="1:35" x14ac:dyDescent="0.25">
      <c r="A186" t="s">
        <v>35</v>
      </c>
      <c r="B186" t="s">
        <v>36</v>
      </c>
      <c r="C186">
        <v>16</v>
      </c>
      <c r="D186" t="s">
        <v>37</v>
      </c>
      <c r="E186" t="s">
        <v>38</v>
      </c>
      <c r="F186" t="s">
        <v>49</v>
      </c>
      <c r="G186" t="s">
        <v>40</v>
      </c>
      <c r="H186">
        <v>3</v>
      </c>
      <c r="I186">
        <v>2</v>
      </c>
      <c r="J186" t="s">
        <v>51</v>
      </c>
      <c r="K186" t="s">
        <v>51</v>
      </c>
      <c r="L186">
        <v>2</v>
      </c>
      <c r="M186">
        <v>1</v>
      </c>
      <c r="N186" t="s">
        <v>44</v>
      </c>
      <c r="O186" t="s">
        <v>43</v>
      </c>
      <c r="P186" t="s">
        <v>43</v>
      </c>
      <c r="Q186" t="s">
        <v>44</v>
      </c>
      <c r="R186" t="s">
        <v>43</v>
      </c>
      <c r="S186" t="s">
        <v>44</v>
      </c>
      <c r="T186">
        <v>2</v>
      </c>
      <c r="U186">
        <v>2</v>
      </c>
      <c r="V186">
        <v>1</v>
      </c>
      <c r="W186">
        <v>2</v>
      </c>
      <c r="X186">
        <v>1</v>
      </c>
      <c r="Y186">
        <v>0</v>
      </c>
      <c r="Z186">
        <v>14</v>
      </c>
      <c r="AA186">
        <v>12</v>
      </c>
      <c r="AB186">
        <v>13</v>
      </c>
      <c r="AC186">
        <v>12</v>
      </c>
      <c r="AD186" t="s">
        <v>46</v>
      </c>
      <c r="AE186" t="s">
        <v>45</v>
      </c>
      <c r="AF186" t="s">
        <v>46</v>
      </c>
      <c r="AG186" t="s">
        <v>47</v>
      </c>
      <c r="AH186">
        <v>0</v>
      </c>
      <c r="AI186" t="s">
        <v>58</v>
      </c>
    </row>
    <row r="187" spans="1:35" x14ac:dyDescent="0.25">
      <c r="A187" t="s">
        <v>35</v>
      </c>
      <c r="B187" t="s">
        <v>59</v>
      </c>
      <c r="C187">
        <v>17</v>
      </c>
      <c r="D187" t="s">
        <v>37</v>
      </c>
      <c r="E187" t="s">
        <v>38</v>
      </c>
      <c r="F187" t="s">
        <v>49</v>
      </c>
      <c r="G187" t="s">
        <v>40</v>
      </c>
      <c r="H187">
        <v>3</v>
      </c>
      <c r="I187">
        <v>3</v>
      </c>
      <c r="J187" t="s">
        <v>54</v>
      </c>
      <c r="K187" t="s">
        <v>54</v>
      </c>
      <c r="L187">
        <v>2</v>
      </c>
      <c r="M187">
        <v>1</v>
      </c>
      <c r="N187" t="s">
        <v>44</v>
      </c>
      <c r="O187" t="s">
        <v>43</v>
      </c>
      <c r="P187" t="s">
        <v>44</v>
      </c>
      <c r="Q187" t="s">
        <v>43</v>
      </c>
      <c r="R187" t="s">
        <v>43</v>
      </c>
      <c r="S187" t="s">
        <v>43</v>
      </c>
      <c r="T187">
        <v>3</v>
      </c>
      <c r="U187">
        <v>4</v>
      </c>
      <c r="V187">
        <v>2</v>
      </c>
      <c r="W187">
        <v>3</v>
      </c>
      <c r="X187">
        <v>4</v>
      </c>
      <c r="Y187">
        <v>0</v>
      </c>
      <c r="Z187">
        <v>12</v>
      </c>
      <c r="AA187">
        <v>12</v>
      </c>
      <c r="AB187">
        <v>12</v>
      </c>
      <c r="AC187">
        <v>11</v>
      </c>
      <c r="AD187" t="s">
        <v>46</v>
      </c>
      <c r="AE187" t="s">
        <v>45</v>
      </c>
      <c r="AF187" t="s">
        <v>46</v>
      </c>
      <c r="AG187" t="s">
        <v>47</v>
      </c>
      <c r="AH187">
        <v>-1</v>
      </c>
      <c r="AI187" t="s">
        <v>60</v>
      </c>
    </row>
    <row r="188" spans="1:35" x14ac:dyDescent="0.25">
      <c r="A188" t="s">
        <v>35</v>
      </c>
      <c r="B188" t="s">
        <v>59</v>
      </c>
      <c r="C188">
        <v>16</v>
      </c>
      <c r="D188" t="s">
        <v>37</v>
      </c>
      <c r="E188" t="s">
        <v>38</v>
      </c>
      <c r="F188" t="s">
        <v>49</v>
      </c>
      <c r="G188" t="s">
        <v>40</v>
      </c>
      <c r="H188">
        <v>1</v>
      </c>
      <c r="I188">
        <v>2</v>
      </c>
      <c r="J188" t="s">
        <v>54</v>
      </c>
      <c r="K188" t="s">
        <v>54</v>
      </c>
      <c r="L188">
        <v>1</v>
      </c>
      <c r="M188">
        <v>1</v>
      </c>
      <c r="N188" t="s">
        <v>44</v>
      </c>
      <c r="O188" t="s">
        <v>43</v>
      </c>
      <c r="P188" t="s">
        <v>43</v>
      </c>
      <c r="Q188" t="s">
        <v>43</v>
      </c>
      <c r="R188" t="s">
        <v>43</v>
      </c>
      <c r="S188" t="s">
        <v>43</v>
      </c>
      <c r="T188">
        <v>3</v>
      </c>
      <c r="U188">
        <v>3</v>
      </c>
      <c r="V188">
        <v>1</v>
      </c>
      <c r="W188">
        <v>2</v>
      </c>
      <c r="X188">
        <v>3</v>
      </c>
      <c r="Y188">
        <v>0</v>
      </c>
      <c r="Z188">
        <v>2</v>
      </c>
      <c r="AA188">
        <v>11</v>
      </c>
      <c r="AB188">
        <v>12</v>
      </c>
      <c r="AC188">
        <v>11</v>
      </c>
      <c r="AD188" t="s">
        <v>46</v>
      </c>
      <c r="AE188" t="s">
        <v>56</v>
      </c>
      <c r="AF188" t="s">
        <v>52</v>
      </c>
      <c r="AG188" t="s">
        <v>61</v>
      </c>
      <c r="AH188">
        <v>0</v>
      </c>
      <c r="AI188" t="s">
        <v>58</v>
      </c>
    </row>
    <row r="189" spans="1:35" x14ac:dyDescent="0.25">
      <c r="A189" t="s">
        <v>35</v>
      </c>
      <c r="B189" t="s">
        <v>59</v>
      </c>
      <c r="C189">
        <v>16</v>
      </c>
      <c r="D189" t="s">
        <v>37</v>
      </c>
      <c r="E189" t="s">
        <v>53</v>
      </c>
      <c r="F189" t="s">
        <v>49</v>
      </c>
      <c r="G189" t="s">
        <v>40</v>
      </c>
      <c r="H189">
        <v>2</v>
      </c>
      <c r="I189">
        <v>1</v>
      </c>
      <c r="J189" t="s">
        <v>51</v>
      </c>
      <c r="K189" t="s">
        <v>51</v>
      </c>
      <c r="L189">
        <v>2</v>
      </c>
      <c r="M189">
        <v>1</v>
      </c>
      <c r="N189" t="s">
        <v>44</v>
      </c>
      <c r="O189" t="s">
        <v>44</v>
      </c>
      <c r="P189" t="s">
        <v>43</v>
      </c>
      <c r="Q189" t="s">
        <v>43</v>
      </c>
      <c r="R189" t="s">
        <v>43</v>
      </c>
      <c r="S189" t="s">
        <v>43</v>
      </c>
      <c r="T189">
        <v>2</v>
      </c>
      <c r="U189">
        <v>3</v>
      </c>
      <c r="V189">
        <v>1</v>
      </c>
      <c r="W189">
        <v>2</v>
      </c>
      <c r="X189">
        <v>5</v>
      </c>
      <c r="Y189">
        <v>0</v>
      </c>
      <c r="Z189">
        <v>0</v>
      </c>
      <c r="AA189">
        <v>15</v>
      </c>
      <c r="AB189">
        <v>15</v>
      </c>
      <c r="AC189">
        <v>15</v>
      </c>
      <c r="AD189" t="s">
        <v>55</v>
      </c>
      <c r="AE189" t="s">
        <v>56</v>
      </c>
      <c r="AF189" t="s">
        <v>52</v>
      </c>
      <c r="AG189" t="s">
        <v>47</v>
      </c>
      <c r="AH189">
        <v>0</v>
      </c>
      <c r="AI189" t="s">
        <v>58</v>
      </c>
    </row>
    <row r="190" spans="1:35" x14ac:dyDescent="0.25">
      <c r="A190" t="s">
        <v>35</v>
      </c>
      <c r="B190" t="s">
        <v>36</v>
      </c>
      <c r="C190">
        <v>17</v>
      </c>
      <c r="D190" t="s">
        <v>37</v>
      </c>
      <c r="E190" t="s">
        <v>38</v>
      </c>
      <c r="F190" t="s">
        <v>39</v>
      </c>
      <c r="G190" t="s">
        <v>40</v>
      </c>
      <c r="H190">
        <v>3</v>
      </c>
      <c r="I190">
        <v>3</v>
      </c>
      <c r="J190" t="s">
        <v>23</v>
      </c>
      <c r="K190" t="s">
        <v>51</v>
      </c>
      <c r="L190">
        <v>2</v>
      </c>
      <c r="M190">
        <v>1</v>
      </c>
      <c r="N190" t="s">
        <v>44</v>
      </c>
      <c r="O190" t="s">
        <v>43</v>
      </c>
      <c r="P190" t="s">
        <v>44</v>
      </c>
      <c r="Q190" t="s">
        <v>44</v>
      </c>
      <c r="R190" t="s">
        <v>43</v>
      </c>
      <c r="S190" t="s">
        <v>43</v>
      </c>
      <c r="T190">
        <v>3</v>
      </c>
      <c r="U190">
        <v>3</v>
      </c>
      <c r="V190">
        <v>1</v>
      </c>
      <c r="W190">
        <v>3</v>
      </c>
      <c r="X190">
        <v>3</v>
      </c>
      <c r="Y190">
        <v>0</v>
      </c>
      <c r="Z190">
        <v>6</v>
      </c>
      <c r="AA190">
        <v>8</v>
      </c>
      <c r="AB190">
        <v>7</v>
      </c>
      <c r="AC190">
        <v>9</v>
      </c>
      <c r="AD190" t="s">
        <v>45</v>
      </c>
      <c r="AE190" t="s">
        <v>45</v>
      </c>
      <c r="AF190" t="s">
        <v>46</v>
      </c>
      <c r="AG190" t="s">
        <v>47</v>
      </c>
      <c r="AH190">
        <v>1</v>
      </c>
      <c r="AI190" t="s">
        <v>48</v>
      </c>
    </row>
    <row r="191" spans="1:35" x14ac:dyDescent="0.25">
      <c r="A191" t="s">
        <v>35</v>
      </c>
      <c r="B191" t="s">
        <v>59</v>
      </c>
      <c r="C191">
        <v>17</v>
      </c>
      <c r="D191" t="s">
        <v>63</v>
      </c>
      <c r="E191" t="s">
        <v>38</v>
      </c>
      <c r="F191" t="s">
        <v>49</v>
      </c>
      <c r="G191" t="s">
        <v>40</v>
      </c>
      <c r="H191">
        <v>1</v>
      </c>
      <c r="I191">
        <v>2</v>
      </c>
      <c r="J191" t="s">
        <v>41</v>
      </c>
      <c r="K191" t="s">
        <v>51</v>
      </c>
      <c r="L191">
        <v>2</v>
      </c>
      <c r="M191">
        <v>1</v>
      </c>
      <c r="N191" t="s">
        <v>44</v>
      </c>
      <c r="O191" t="s">
        <v>44</v>
      </c>
      <c r="P191" t="s">
        <v>44</v>
      </c>
      <c r="Q191" t="s">
        <v>44</v>
      </c>
      <c r="R191" t="s">
        <v>44</v>
      </c>
      <c r="S191" t="s">
        <v>44</v>
      </c>
      <c r="T191">
        <v>1</v>
      </c>
      <c r="U191">
        <v>3</v>
      </c>
      <c r="V191">
        <v>1</v>
      </c>
      <c r="W191">
        <v>5</v>
      </c>
      <c r="X191">
        <v>3</v>
      </c>
      <c r="Y191">
        <v>0</v>
      </c>
      <c r="Z191">
        <v>4</v>
      </c>
      <c r="AA191">
        <v>8</v>
      </c>
      <c r="AB191">
        <v>9</v>
      </c>
      <c r="AC191">
        <v>10</v>
      </c>
      <c r="AD191" t="s">
        <v>46</v>
      </c>
      <c r="AE191" t="s">
        <v>56</v>
      </c>
      <c r="AF191" t="s">
        <v>52</v>
      </c>
      <c r="AG191" t="s">
        <v>47</v>
      </c>
      <c r="AH191">
        <v>2</v>
      </c>
      <c r="AI191" t="s">
        <v>48</v>
      </c>
    </row>
    <row r="192" spans="1:35" x14ac:dyDescent="0.25">
      <c r="A192" t="s">
        <v>35</v>
      </c>
      <c r="B192" t="s">
        <v>36</v>
      </c>
      <c r="C192">
        <v>16</v>
      </c>
      <c r="D192" t="s">
        <v>37</v>
      </c>
      <c r="E192" t="s">
        <v>38</v>
      </c>
      <c r="F192" t="s">
        <v>49</v>
      </c>
      <c r="G192" t="s">
        <v>40</v>
      </c>
      <c r="H192">
        <v>2</v>
      </c>
      <c r="I192">
        <v>3</v>
      </c>
      <c r="J192" t="s">
        <v>54</v>
      </c>
      <c r="K192" t="s">
        <v>54</v>
      </c>
      <c r="L192">
        <v>2</v>
      </c>
      <c r="M192">
        <v>1</v>
      </c>
      <c r="N192" t="s">
        <v>44</v>
      </c>
      <c r="O192" t="s">
        <v>44</v>
      </c>
      <c r="P192" t="s">
        <v>44</v>
      </c>
      <c r="Q192" t="s">
        <v>44</v>
      </c>
      <c r="R192" t="s">
        <v>43</v>
      </c>
      <c r="S192" t="s">
        <v>44</v>
      </c>
      <c r="T192">
        <v>3</v>
      </c>
      <c r="U192">
        <v>3</v>
      </c>
      <c r="V192">
        <v>1</v>
      </c>
      <c r="W192">
        <v>1</v>
      </c>
      <c r="X192">
        <v>2</v>
      </c>
      <c r="Y192">
        <v>0</v>
      </c>
      <c r="Z192">
        <v>10</v>
      </c>
      <c r="AA192">
        <v>11</v>
      </c>
      <c r="AB192">
        <v>12</v>
      </c>
      <c r="AC192">
        <v>13</v>
      </c>
      <c r="AD192" t="s">
        <v>46</v>
      </c>
      <c r="AE192" t="s">
        <v>56</v>
      </c>
      <c r="AF192" t="s">
        <v>46</v>
      </c>
      <c r="AG192" t="s">
        <v>47</v>
      </c>
      <c r="AH192">
        <v>2</v>
      </c>
      <c r="AI192" t="s">
        <v>48</v>
      </c>
    </row>
    <row r="193" spans="1:35" x14ac:dyDescent="0.25">
      <c r="A193" t="s">
        <v>35</v>
      </c>
      <c r="B193" t="s">
        <v>36</v>
      </c>
      <c r="C193">
        <v>17</v>
      </c>
      <c r="D193" t="s">
        <v>37</v>
      </c>
      <c r="E193" t="s">
        <v>38</v>
      </c>
      <c r="F193" t="s">
        <v>49</v>
      </c>
      <c r="G193" t="s">
        <v>40</v>
      </c>
      <c r="H193">
        <v>1</v>
      </c>
      <c r="I193">
        <v>1</v>
      </c>
      <c r="J193" t="s">
        <v>41</v>
      </c>
      <c r="K193" t="s">
        <v>54</v>
      </c>
      <c r="L193">
        <v>2</v>
      </c>
      <c r="M193">
        <v>1</v>
      </c>
      <c r="N193" t="s">
        <v>44</v>
      </c>
      <c r="O193" t="s">
        <v>44</v>
      </c>
      <c r="P193" t="s">
        <v>44</v>
      </c>
      <c r="Q193" t="s">
        <v>43</v>
      </c>
      <c r="R193" t="s">
        <v>43</v>
      </c>
      <c r="S193" t="s">
        <v>44</v>
      </c>
      <c r="T193">
        <v>3</v>
      </c>
      <c r="U193">
        <v>3</v>
      </c>
      <c r="V193">
        <v>1</v>
      </c>
      <c r="W193">
        <v>1</v>
      </c>
      <c r="X193">
        <v>3</v>
      </c>
      <c r="Y193">
        <v>0</v>
      </c>
      <c r="Z193">
        <v>0</v>
      </c>
      <c r="AA193">
        <v>8</v>
      </c>
      <c r="AB193">
        <v>8</v>
      </c>
      <c r="AC193">
        <v>9</v>
      </c>
      <c r="AD193" t="s">
        <v>45</v>
      </c>
      <c r="AE193" t="s">
        <v>45</v>
      </c>
      <c r="AF193" t="s">
        <v>52</v>
      </c>
      <c r="AG193" t="s">
        <v>47</v>
      </c>
      <c r="AH193">
        <v>1</v>
      </c>
      <c r="AI193" t="s">
        <v>48</v>
      </c>
    </row>
    <row r="194" spans="1:35" x14ac:dyDescent="0.25">
      <c r="A194" t="s">
        <v>35</v>
      </c>
      <c r="B194" t="s">
        <v>59</v>
      </c>
      <c r="C194">
        <v>17</v>
      </c>
      <c r="D194" t="s">
        <v>37</v>
      </c>
      <c r="E194" t="s">
        <v>38</v>
      </c>
      <c r="F194" t="s">
        <v>49</v>
      </c>
      <c r="G194" t="s">
        <v>51</v>
      </c>
      <c r="H194">
        <v>1</v>
      </c>
      <c r="I194">
        <v>2</v>
      </c>
      <c r="J194" t="s">
        <v>41</v>
      </c>
      <c r="K194" t="s">
        <v>54</v>
      </c>
      <c r="L194">
        <v>2</v>
      </c>
      <c r="M194">
        <v>2</v>
      </c>
      <c r="N194" t="s">
        <v>44</v>
      </c>
      <c r="O194" t="s">
        <v>44</v>
      </c>
      <c r="P194" t="s">
        <v>43</v>
      </c>
      <c r="Q194" t="s">
        <v>43</v>
      </c>
      <c r="R194" t="s">
        <v>43</v>
      </c>
      <c r="S194" t="s">
        <v>44</v>
      </c>
      <c r="T194">
        <v>4</v>
      </c>
      <c r="U194">
        <v>4</v>
      </c>
      <c r="V194">
        <v>4</v>
      </c>
      <c r="W194">
        <v>5</v>
      </c>
      <c r="X194">
        <v>5</v>
      </c>
      <c r="Y194">
        <v>0</v>
      </c>
      <c r="Z194">
        <v>12</v>
      </c>
      <c r="AA194">
        <v>7</v>
      </c>
      <c r="AB194">
        <v>8</v>
      </c>
      <c r="AC194">
        <v>8</v>
      </c>
      <c r="AD194" t="s">
        <v>45</v>
      </c>
      <c r="AE194" t="s">
        <v>45</v>
      </c>
      <c r="AF194" t="s">
        <v>46</v>
      </c>
      <c r="AG194" t="s">
        <v>47</v>
      </c>
      <c r="AH194">
        <v>1</v>
      </c>
      <c r="AI194" t="s">
        <v>48</v>
      </c>
    </row>
    <row r="195" spans="1:35" x14ac:dyDescent="0.25">
      <c r="A195" t="s">
        <v>35</v>
      </c>
      <c r="B195" t="s">
        <v>59</v>
      </c>
      <c r="C195">
        <v>16</v>
      </c>
      <c r="D195" t="s">
        <v>63</v>
      </c>
      <c r="E195" t="s">
        <v>38</v>
      </c>
      <c r="F195" t="s">
        <v>49</v>
      </c>
      <c r="G195" t="s">
        <v>40</v>
      </c>
      <c r="H195">
        <v>3</v>
      </c>
      <c r="I195">
        <v>3</v>
      </c>
      <c r="J195" t="s">
        <v>54</v>
      </c>
      <c r="K195" t="s">
        <v>54</v>
      </c>
      <c r="L195">
        <v>1</v>
      </c>
      <c r="M195">
        <v>1</v>
      </c>
      <c r="N195" t="s">
        <v>44</v>
      </c>
      <c r="O195" t="s">
        <v>43</v>
      </c>
      <c r="P195" t="s">
        <v>44</v>
      </c>
      <c r="Q195" t="s">
        <v>43</v>
      </c>
      <c r="R195" t="s">
        <v>43</v>
      </c>
      <c r="S195" t="s">
        <v>44</v>
      </c>
      <c r="T195">
        <v>3</v>
      </c>
      <c r="U195">
        <v>2</v>
      </c>
      <c r="V195">
        <v>3</v>
      </c>
      <c r="W195">
        <v>4</v>
      </c>
      <c r="X195">
        <v>5</v>
      </c>
      <c r="Y195">
        <v>0</v>
      </c>
      <c r="Z195">
        <v>8</v>
      </c>
      <c r="AA195">
        <v>8</v>
      </c>
      <c r="AB195">
        <v>9</v>
      </c>
      <c r="AC195">
        <v>10</v>
      </c>
      <c r="AD195" t="s">
        <v>46</v>
      </c>
      <c r="AE195" t="s">
        <v>56</v>
      </c>
      <c r="AF195" t="s">
        <v>46</v>
      </c>
      <c r="AG195" t="s">
        <v>61</v>
      </c>
      <c r="AH195">
        <v>2</v>
      </c>
      <c r="AI195" t="s">
        <v>48</v>
      </c>
    </row>
    <row r="196" spans="1:35" x14ac:dyDescent="0.25">
      <c r="A196" t="s">
        <v>35</v>
      </c>
      <c r="B196" t="s">
        <v>59</v>
      </c>
      <c r="C196">
        <v>16</v>
      </c>
      <c r="D196" t="s">
        <v>37</v>
      </c>
      <c r="E196" t="s">
        <v>38</v>
      </c>
      <c r="F196" t="s">
        <v>49</v>
      </c>
      <c r="G196" t="s">
        <v>50</v>
      </c>
      <c r="H196">
        <v>2</v>
      </c>
      <c r="I196">
        <v>3</v>
      </c>
      <c r="J196" t="s">
        <v>51</v>
      </c>
      <c r="K196" t="s">
        <v>51</v>
      </c>
      <c r="L196">
        <v>1</v>
      </c>
      <c r="M196">
        <v>2</v>
      </c>
      <c r="N196" t="s">
        <v>44</v>
      </c>
      <c r="O196" t="s">
        <v>44</v>
      </c>
      <c r="P196" t="s">
        <v>44</v>
      </c>
      <c r="Q196" t="s">
        <v>44</v>
      </c>
      <c r="R196" t="s">
        <v>43</v>
      </c>
      <c r="S196" t="s">
        <v>44</v>
      </c>
      <c r="T196">
        <v>3</v>
      </c>
      <c r="U196">
        <v>3</v>
      </c>
      <c r="V196">
        <v>1</v>
      </c>
      <c r="W196">
        <v>1</v>
      </c>
      <c r="X196">
        <v>3</v>
      </c>
      <c r="Y196">
        <v>0</v>
      </c>
      <c r="Z196">
        <v>0</v>
      </c>
      <c r="AA196">
        <v>13</v>
      </c>
      <c r="AB196">
        <v>14</v>
      </c>
      <c r="AC196">
        <v>14</v>
      </c>
      <c r="AD196" t="s">
        <v>55</v>
      </c>
      <c r="AE196" t="s">
        <v>56</v>
      </c>
      <c r="AF196" t="s">
        <v>52</v>
      </c>
      <c r="AG196" t="s">
        <v>61</v>
      </c>
      <c r="AH196">
        <v>1</v>
      </c>
      <c r="AI196" t="s">
        <v>48</v>
      </c>
    </row>
    <row r="197" spans="1:35" x14ac:dyDescent="0.25">
      <c r="A197" t="s">
        <v>35</v>
      </c>
      <c r="B197" t="s">
        <v>36</v>
      </c>
      <c r="C197">
        <v>17</v>
      </c>
      <c r="D197" t="s">
        <v>37</v>
      </c>
      <c r="E197" t="s">
        <v>53</v>
      </c>
      <c r="F197" t="s">
        <v>49</v>
      </c>
      <c r="G197" t="s">
        <v>50</v>
      </c>
      <c r="H197">
        <v>2</v>
      </c>
      <c r="I197">
        <v>4</v>
      </c>
      <c r="J197" t="s">
        <v>54</v>
      </c>
      <c r="K197" t="s">
        <v>54</v>
      </c>
      <c r="L197">
        <v>2</v>
      </c>
      <c r="M197">
        <v>1</v>
      </c>
      <c r="N197" t="s">
        <v>44</v>
      </c>
      <c r="O197" t="s">
        <v>44</v>
      </c>
      <c r="P197" t="s">
        <v>44</v>
      </c>
      <c r="Q197" t="s">
        <v>43</v>
      </c>
      <c r="R197" t="s">
        <v>43</v>
      </c>
      <c r="S197" t="s">
        <v>43</v>
      </c>
      <c r="T197">
        <v>3</v>
      </c>
      <c r="U197">
        <v>2</v>
      </c>
      <c r="V197">
        <v>1</v>
      </c>
      <c r="W197">
        <v>1</v>
      </c>
      <c r="X197">
        <v>5</v>
      </c>
      <c r="Y197">
        <v>0</v>
      </c>
      <c r="Z197">
        <v>0</v>
      </c>
      <c r="AA197">
        <v>14</v>
      </c>
      <c r="AB197">
        <v>15</v>
      </c>
      <c r="AC197">
        <v>15</v>
      </c>
      <c r="AD197" t="s">
        <v>55</v>
      </c>
      <c r="AE197" t="s">
        <v>56</v>
      </c>
      <c r="AF197" t="s">
        <v>52</v>
      </c>
      <c r="AG197" t="s">
        <v>47</v>
      </c>
      <c r="AH197">
        <v>1</v>
      </c>
      <c r="AI197" t="s">
        <v>48</v>
      </c>
    </row>
    <row r="198" spans="1:35" x14ac:dyDescent="0.25">
      <c r="A198" t="s">
        <v>35</v>
      </c>
      <c r="B198" t="s">
        <v>59</v>
      </c>
      <c r="C198">
        <v>17</v>
      </c>
      <c r="D198" t="s">
        <v>37</v>
      </c>
      <c r="E198" t="s">
        <v>38</v>
      </c>
      <c r="F198" t="s">
        <v>49</v>
      </c>
      <c r="G198" t="s">
        <v>40</v>
      </c>
      <c r="H198">
        <v>4</v>
      </c>
      <c r="I198">
        <v>4</v>
      </c>
      <c r="J198" t="s">
        <v>54</v>
      </c>
      <c r="K198" t="s">
        <v>42</v>
      </c>
      <c r="L198">
        <v>1</v>
      </c>
      <c r="M198">
        <v>1</v>
      </c>
      <c r="N198" t="s">
        <v>44</v>
      </c>
      <c r="O198" t="s">
        <v>44</v>
      </c>
      <c r="P198" t="s">
        <v>44</v>
      </c>
      <c r="Q198" t="s">
        <v>44</v>
      </c>
      <c r="R198" t="s">
        <v>43</v>
      </c>
      <c r="S198" t="s">
        <v>44</v>
      </c>
      <c r="T198">
        <v>2</v>
      </c>
      <c r="U198">
        <v>3</v>
      </c>
      <c r="V198">
        <v>1</v>
      </c>
      <c r="W198">
        <v>2</v>
      </c>
      <c r="X198">
        <v>5</v>
      </c>
      <c r="Y198">
        <v>0</v>
      </c>
      <c r="Z198">
        <v>4</v>
      </c>
      <c r="AA198">
        <v>17</v>
      </c>
      <c r="AB198">
        <v>15</v>
      </c>
      <c r="AC198">
        <v>16</v>
      </c>
      <c r="AD198" t="s">
        <v>55</v>
      </c>
      <c r="AE198" t="s">
        <v>56</v>
      </c>
      <c r="AF198" t="s">
        <v>52</v>
      </c>
      <c r="AG198" t="s">
        <v>61</v>
      </c>
      <c r="AH198">
        <v>-1</v>
      </c>
      <c r="AI198" t="s">
        <v>60</v>
      </c>
    </row>
    <row r="199" spans="1:35" x14ac:dyDescent="0.25">
      <c r="A199" t="s">
        <v>35</v>
      </c>
      <c r="B199" t="s">
        <v>59</v>
      </c>
      <c r="C199">
        <v>16</v>
      </c>
      <c r="D199" t="s">
        <v>63</v>
      </c>
      <c r="E199" t="s">
        <v>53</v>
      </c>
      <c r="F199" t="s">
        <v>49</v>
      </c>
      <c r="G199" t="s">
        <v>50</v>
      </c>
      <c r="H199">
        <v>3</v>
      </c>
      <c r="I199">
        <v>3</v>
      </c>
      <c r="J199" t="s">
        <v>42</v>
      </c>
      <c r="K199" t="s">
        <v>51</v>
      </c>
      <c r="L199">
        <v>1</v>
      </c>
      <c r="M199">
        <v>3</v>
      </c>
      <c r="N199" t="s">
        <v>44</v>
      </c>
      <c r="O199" t="s">
        <v>43</v>
      </c>
      <c r="P199" t="s">
        <v>43</v>
      </c>
      <c r="Q199" t="s">
        <v>43</v>
      </c>
      <c r="R199" t="s">
        <v>43</v>
      </c>
      <c r="S199" t="s">
        <v>44</v>
      </c>
      <c r="T199">
        <v>3</v>
      </c>
      <c r="U199">
        <v>4</v>
      </c>
      <c r="V199">
        <v>3</v>
      </c>
      <c r="W199">
        <v>5</v>
      </c>
      <c r="X199">
        <v>3</v>
      </c>
      <c r="Y199">
        <v>0</v>
      </c>
      <c r="Z199">
        <v>8</v>
      </c>
      <c r="AA199">
        <v>9</v>
      </c>
      <c r="AB199">
        <v>9</v>
      </c>
      <c r="AC199">
        <v>10</v>
      </c>
      <c r="AD199" t="s">
        <v>46</v>
      </c>
      <c r="AE199" t="s">
        <v>56</v>
      </c>
      <c r="AF199" t="s">
        <v>46</v>
      </c>
      <c r="AG199" t="s">
        <v>61</v>
      </c>
      <c r="AH199">
        <v>1</v>
      </c>
      <c r="AI199" t="s">
        <v>48</v>
      </c>
    </row>
    <row r="200" spans="1:35" x14ac:dyDescent="0.25">
      <c r="A200" t="s">
        <v>35</v>
      </c>
      <c r="B200" t="s">
        <v>36</v>
      </c>
      <c r="C200">
        <v>17</v>
      </c>
      <c r="D200" t="s">
        <v>37</v>
      </c>
      <c r="E200" t="s">
        <v>38</v>
      </c>
      <c r="F200" t="s">
        <v>49</v>
      </c>
      <c r="G200" t="s">
        <v>40</v>
      </c>
      <c r="H200">
        <v>4</v>
      </c>
      <c r="I200">
        <v>4</v>
      </c>
      <c r="J200" t="s">
        <v>54</v>
      </c>
      <c r="K200" t="s">
        <v>42</v>
      </c>
      <c r="L200">
        <v>1</v>
      </c>
      <c r="M200">
        <v>2</v>
      </c>
      <c r="N200" t="s">
        <v>44</v>
      </c>
      <c r="O200" t="s">
        <v>43</v>
      </c>
      <c r="P200" t="s">
        <v>44</v>
      </c>
      <c r="Q200" t="s">
        <v>44</v>
      </c>
      <c r="R200" t="s">
        <v>43</v>
      </c>
      <c r="S200" t="s">
        <v>44</v>
      </c>
      <c r="T200">
        <v>2</v>
      </c>
      <c r="U200">
        <v>4</v>
      </c>
      <c r="V200">
        <v>2</v>
      </c>
      <c r="W200">
        <v>3</v>
      </c>
      <c r="X200">
        <v>2</v>
      </c>
      <c r="Y200">
        <v>1</v>
      </c>
      <c r="Z200">
        <v>24</v>
      </c>
      <c r="AA200">
        <v>18</v>
      </c>
      <c r="AB200">
        <v>18</v>
      </c>
      <c r="AC200">
        <v>18</v>
      </c>
      <c r="AD200" t="s">
        <v>55</v>
      </c>
      <c r="AE200" t="s">
        <v>45</v>
      </c>
      <c r="AF200" t="s">
        <v>62</v>
      </c>
      <c r="AG200" t="s">
        <v>61</v>
      </c>
      <c r="AH200">
        <v>0</v>
      </c>
      <c r="AI200" t="s">
        <v>58</v>
      </c>
    </row>
    <row r="201" spans="1:35" x14ac:dyDescent="0.25">
      <c r="A201" t="s">
        <v>35</v>
      </c>
      <c r="B201" t="s">
        <v>36</v>
      </c>
      <c r="C201">
        <v>16</v>
      </c>
      <c r="D201" t="s">
        <v>37</v>
      </c>
      <c r="E201" t="s">
        <v>53</v>
      </c>
      <c r="F201" t="s">
        <v>49</v>
      </c>
      <c r="G201" t="s">
        <v>40</v>
      </c>
      <c r="H201">
        <v>4</v>
      </c>
      <c r="I201">
        <v>4</v>
      </c>
      <c r="J201" t="s">
        <v>42</v>
      </c>
      <c r="K201" t="s">
        <v>42</v>
      </c>
      <c r="L201">
        <v>2</v>
      </c>
      <c r="M201">
        <v>1</v>
      </c>
      <c r="N201" t="s">
        <v>44</v>
      </c>
      <c r="O201" t="s">
        <v>43</v>
      </c>
      <c r="P201" t="s">
        <v>43</v>
      </c>
      <c r="Q201" t="s">
        <v>44</v>
      </c>
      <c r="R201" t="s">
        <v>43</v>
      </c>
      <c r="S201" t="s">
        <v>44</v>
      </c>
      <c r="T201">
        <v>5</v>
      </c>
      <c r="U201">
        <v>2</v>
      </c>
      <c r="V201">
        <v>1</v>
      </c>
      <c r="W201">
        <v>2</v>
      </c>
      <c r="X201">
        <v>3</v>
      </c>
      <c r="Y201">
        <v>0</v>
      </c>
      <c r="Z201">
        <v>0</v>
      </c>
      <c r="AA201">
        <v>9</v>
      </c>
      <c r="AB201">
        <v>9</v>
      </c>
      <c r="AC201">
        <v>10</v>
      </c>
      <c r="AD201" t="s">
        <v>46</v>
      </c>
      <c r="AE201" t="s">
        <v>56</v>
      </c>
      <c r="AF201" t="s">
        <v>52</v>
      </c>
      <c r="AG201" t="s">
        <v>47</v>
      </c>
      <c r="AH201">
        <v>1</v>
      </c>
      <c r="AI201" t="s">
        <v>48</v>
      </c>
    </row>
    <row r="202" spans="1:35" x14ac:dyDescent="0.25">
      <c r="A202" t="s">
        <v>35</v>
      </c>
      <c r="B202" t="s">
        <v>36</v>
      </c>
      <c r="C202">
        <v>16</v>
      </c>
      <c r="D202" t="s">
        <v>37</v>
      </c>
      <c r="E202" t="s">
        <v>38</v>
      </c>
      <c r="F202" t="s">
        <v>49</v>
      </c>
      <c r="G202" t="s">
        <v>40</v>
      </c>
      <c r="H202">
        <v>4</v>
      </c>
      <c r="I202">
        <v>3</v>
      </c>
      <c r="J202" t="s">
        <v>23</v>
      </c>
      <c r="K202" t="s">
        <v>51</v>
      </c>
      <c r="L202">
        <v>2</v>
      </c>
      <c r="M202">
        <v>1</v>
      </c>
      <c r="N202" t="s">
        <v>44</v>
      </c>
      <c r="O202" t="s">
        <v>43</v>
      </c>
      <c r="P202" t="s">
        <v>44</v>
      </c>
      <c r="Q202" t="s">
        <v>43</v>
      </c>
      <c r="R202" t="s">
        <v>43</v>
      </c>
      <c r="S202" t="s">
        <v>44</v>
      </c>
      <c r="T202">
        <v>3</v>
      </c>
      <c r="U202">
        <v>5</v>
      </c>
      <c r="V202">
        <v>1</v>
      </c>
      <c r="W202">
        <v>5</v>
      </c>
      <c r="X202">
        <v>2</v>
      </c>
      <c r="Y202">
        <v>0</v>
      </c>
      <c r="Z202">
        <v>2</v>
      </c>
      <c r="AA202">
        <v>16</v>
      </c>
      <c r="AB202">
        <v>16</v>
      </c>
      <c r="AC202">
        <v>16</v>
      </c>
      <c r="AD202" t="s">
        <v>55</v>
      </c>
      <c r="AE202" t="s">
        <v>56</v>
      </c>
      <c r="AF202" t="s">
        <v>52</v>
      </c>
      <c r="AG202" t="s">
        <v>47</v>
      </c>
      <c r="AH202">
        <v>0</v>
      </c>
      <c r="AI202" t="s">
        <v>58</v>
      </c>
    </row>
    <row r="203" spans="1:35" x14ac:dyDescent="0.25">
      <c r="A203" t="s">
        <v>35</v>
      </c>
      <c r="B203" t="s">
        <v>36</v>
      </c>
      <c r="C203">
        <v>16</v>
      </c>
      <c r="D203" t="s">
        <v>37</v>
      </c>
      <c r="E203" t="s">
        <v>38</v>
      </c>
      <c r="F203" t="s">
        <v>49</v>
      </c>
      <c r="G203" t="s">
        <v>40</v>
      </c>
      <c r="H203">
        <v>2</v>
      </c>
      <c r="I203">
        <v>3</v>
      </c>
      <c r="J203" t="s">
        <v>51</v>
      </c>
      <c r="K203" t="s">
        <v>51</v>
      </c>
      <c r="L203">
        <v>2</v>
      </c>
      <c r="M203">
        <v>1</v>
      </c>
      <c r="N203" t="s">
        <v>43</v>
      </c>
      <c r="O203" t="s">
        <v>43</v>
      </c>
      <c r="P203" t="s">
        <v>43</v>
      </c>
      <c r="Q203" t="s">
        <v>43</v>
      </c>
      <c r="R203" t="s">
        <v>44</v>
      </c>
      <c r="S203" t="s">
        <v>44</v>
      </c>
      <c r="T203">
        <v>4</v>
      </c>
      <c r="U203">
        <v>3</v>
      </c>
      <c r="V203">
        <v>1</v>
      </c>
      <c r="W203">
        <v>3</v>
      </c>
      <c r="X203">
        <v>4</v>
      </c>
      <c r="Y203">
        <v>0</v>
      </c>
      <c r="Z203">
        <v>6</v>
      </c>
      <c r="AA203">
        <v>8</v>
      </c>
      <c r="AB203">
        <v>10</v>
      </c>
      <c r="AC203">
        <v>10</v>
      </c>
      <c r="AD203" t="s">
        <v>46</v>
      </c>
      <c r="AE203" t="s">
        <v>56</v>
      </c>
      <c r="AF203" t="s">
        <v>46</v>
      </c>
      <c r="AG203" t="s">
        <v>47</v>
      </c>
      <c r="AH203">
        <v>2</v>
      </c>
      <c r="AI203" t="s">
        <v>48</v>
      </c>
    </row>
    <row r="204" spans="1:35" x14ac:dyDescent="0.25">
      <c r="A204" t="s">
        <v>35</v>
      </c>
      <c r="B204" t="s">
        <v>36</v>
      </c>
      <c r="C204">
        <v>17</v>
      </c>
      <c r="D204" t="s">
        <v>37</v>
      </c>
      <c r="E204" t="s">
        <v>38</v>
      </c>
      <c r="F204" t="s">
        <v>49</v>
      </c>
      <c r="G204" t="s">
        <v>40</v>
      </c>
      <c r="H204">
        <v>1</v>
      </c>
      <c r="I204">
        <v>1</v>
      </c>
      <c r="J204" t="s">
        <v>51</v>
      </c>
      <c r="K204" t="s">
        <v>51</v>
      </c>
      <c r="L204">
        <v>2</v>
      </c>
      <c r="M204">
        <v>1</v>
      </c>
      <c r="N204" t="s">
        <v>44</v>
      </c>
      <c r="O204" t="s">
        <v>43</v>
      </c>
      <c r="P204" t="s">
        <v>43</v>
      </c>
      <c r="Q204" t="s">
        <v>44</v>
      </c>
      <c r="R204" t="s">
        <v>44</v>
      </c>
      <c r="S204" t="s">
        <v>44</v>
      </c>
      <c r="T204">
        <v>4</v>
      </c>
      <c r="U204">
        <v>4</v>
      </c>
      <c r="V204">
        <v>1</v>
      </c>
      <c r="W204">
        <v>3</v>
      </c>
      <c r="X204">
        <v>1</v>
      </c>
      <c r="Y204">
        <v>0</v>
      </c>
      <c r="Z204">
        <v>4</v>
      </c>
      <c r="AA204">
        <v>9</v>
      </c>
      <c r="AB204">
        <v>9</v>
      </c>
      <c r="AC204">
        <v>10</v>
      </c>
      <c r="AD204" t="s">
        <v>46</v>
      </c>
      <c r="AE204" t="s">
        <v>56</v>
      </c>
      <c r="AF204" t="s">
        <v>52</v>
      </c>
      <c r="AG204" t="s">
        <v>47</v>
      </c>
      <c r="AH204">
        <v>1</v>
      </c>
      <c r="AI204" t="s">
        <v>48</v>
      </c>
    </row>
    <row r="205" spans="1:35" x14ac:dyDescent="0.25">
      <c r="A205" t="s">
        <v>35</v>
      </c>
      <c r="B205" t="s">
        <v>36</v>
      </c>
      <c r="C205">
        <v>17</v>
      </c>
      <c r="D205" t="s">
        <v>63</v>
      </c>
      <c r="E205" t="s">
        <v>38</v>
      </c>
      <c r="F205" t="s">
        <v>49</v>
      </c>
      <c r="G205" t="s">
        <v>40</v>
      </c>
      <c r="H205">
        <v>2</v>
      </c>
      <c r="I205">
        <v>2</v>
      </c>
      <c r="J205" t="s">
        <v>51</v>
      </c>
      <c r="K205" t="s">
        <v>51</v>
      </c>
      <c r="L205">
        <v>1</v>
      </c>
      <c r="M205">
        <v>1</v>
      </c>
      <c r="N205" t="s">
        <v>44</v>
      </c>
      <c r="O205" t="s">
        <v>43</v>
      </c>
      <c r="P205" t="s">
        <v>44</v>
      </c>
      <c r="Q205" t="s">
        <v>44</v>
      </c>
      <c r="R205" t="s">
        <v>43</v>
      </c>
      <c r="S205" t="s">
        <v>44</v>
      </c>
      <c r="T205">
        <v>3</v>
      </c>
      <c r="U205">
        <v>2</v>
      </c>
      <c r="V205">
        <v>1</v>
      </c>
      <c r="W205">
        <v>2</v>
      </c>
      <c r="X205">
        <v>3</v>
      </c>
      <c r="Y205">
        <v>0</v>
      </c>
      <c r="Z205">
        <v>18</v>
      </c>
      <c r="AA205">
        <v>7</v>
      </c>
      <c r="AB205">
        <v>6</v>
      </c>
      <c r="AC205">
        <v>6</v>
      </c>
      <c r="AD205" t="s">
        <v>45</v>
      </c>
      <c r="AE205" t="s">
        <v>45</v>
      </c>
      <c r="AF205" t="s">
        <v>62</v>
      </c>
      <c r="AG205" t="s">
        <v>61</v>
      </c>
      <c r="AH205">
        <v>-1</v>
      </c>
      <c r="AI205" t="s">
        <v>60</v>
      </c>
    </row>
    <row r="206" spans="1:35" x14ac:dyDescent="0.25">
      <c r="A206" t="s">
        <v>35</v>
      </c>
      <c r="B206" t="s">
        <v>36</v>
      </c>
      <c r="C206">
        <v>16</v>
      </c>
      <c r="D206" t="s">
        <v>63</v>
      </c>
      <c r="E206" t="s">
        <v>38</v>
      </c>
      <c r="F206" t="s">
        <v>49</v>
      </c>
      <c r="G206" t="s">
        <v>40</v>
      </c>
      <c r="H206">
        <v>2</v>
      </c>
      <c r="I206">
        <v>2</v>
      </c>
      <c r="J206" t="s">
        <v>54</v>
      </c>
      <c r="K206" t="s">
        <v>54</v>
      </c>
      <c r="L206">
        <v>4</v>
      </c>
      <c r="M206">
        <v>2</v>
      </c>
      <c r="N206" t="s">
        <v>44</v>
      </c>
      <c r="O206" t="s">
        <v>43</v>
      </c>
      <c r="P206" t="s">
        <v>43</v>
      </c>
      <c r="Q206" t="s">
        <v>43</v>
      </c>
      <c r="R206" t="s">
        <v>43</v>
      </c>
      <c r="S206" t="s">
        <v>44</v>
      </c>
      <c r="T206">
        <v>3</v>
      </c>
      <c r="U206">
        <v>5</v>
      </c>
      <c r="V206">
        <v>1</v>
      </c>
      <c r="W206">
        <v>1</v>
      </c>
      <c r="X206">
        <v>5</v>
      </c>
      <c r="Y206">
        <v>0</v>
      </c>
      <c r="Z206">
        <v>6</v>
      </c>
      <c r="AA206">
        <v>10</v>
      </c>
      <c r="AB206">
        <v>10</v>
      </c>
      <c r="AC206">
        <v>11</v>
      </c>
      <c r="AD206" t="s">
        <v>46</v>
      </c>
      <c r="AE206" t="s">
        <v>56</v>
      </c>
      <c r="AF206" t="s">
        <v>46</v>
      </c>
      <c r="AG206" t="s">
        <v>64</v>
      </c>
      <c r="AH206">
        <v>1</v>
      </c>
      <c r="AI206" t="s">
        <v>48</v>
      </c>
    </row>
    <row r="207" spans="1:35" x14ac:dyDescent="0.25">
      <c r="A207" t="s">
        <v>35</v>
      </c>
      <c r="B207" t="s">
        <v>36</v>
      </c>
      <c r="C207">
        <v>17</v>
      </c>
      <c r="D207" t="s">
        <v>37</v>
      </c>
      <c r="E207" t="s">
        <v>38</v>
      </c>
      <c r="F207" t="s">
        <v>49</v>
      </c>
      <c r="G207" t="s">
        <v>40</v>
      </c>
      <c r="H207">
        <v>3</v>
      </c>
      <c r="I207">
        <v>4</v>
      </c>
      <c r="J207" t="s">
        <v>41</v>
      </c>
      <c r="K207" t="s">
        <v>54</v>
      </c>
      <c r="L207">
        <v>3</v>
      </c>
      <c r="M207">
        <v>1</v>
      </c>
      <c r="N207" t="s">
        <v>44</v>
      </c>
      <c r="O207" t="s">
        <v>43</v>
      </c>
      <c r="P207" t="s">
        <v>43</v>
      </c>
      <c r="Q207" t="s">
        <v>44</v>
      </c>
      <c r="R207" t="s">
        <v>43</v>
      </c>
      <c r="S207" t="s">
        <v>43</v>
      </c>
      <c r="T207">
        <v>4</v>
      </c>
      <c r="U207">
        <v>3</v>
      </c>
      <c r="V207">
        <v>3</v>
      </c>
      <c r="W207">
        <v>4</v>
      </c>
      <c r="X207">
        <v>5</v>
      </c>
      <c r="Y207">
        <v>1</v>
      </c>
      <c r="Z207">
        <v>28</v>
      </c>
      <c r="AA207">
        <v>10</v>
      </c>
      <c r="AB207">
        <v>9</v>
      </c>
      <c r="AC207">
        <v>9</v>
      </c>
      <c r="AD207" t="s">
        <v>45</v>
      </c>
      <c r="AE207" t="s">
        <v>45</v>
      </c>
      <c r="AF207" t="s">
        <v>62</v>
      </c>
      <c r="AG207" t="s">
        <v>57</v>
      </c>
      <c r="AH207">
        <v>-1</v>
      </c>
      <c r="AI207" t="s">
        <v>60</v>
      </c>
    </row>
    <row r="208" spans="1:35" x14ac:dyDescent="0.25">
      <c r="A208" t="s">
        <v>35</v>
      </c>
      <c r="B208" t="s">
        <v>36</v>
      </c>
      <c r="C208">
        <v>16</v>
      </c>
      <c r="D208" t="s">
        <v>37</v>
      </c>
      <c r="E208" t="s">
        <v>38</v>
      </c>
      <c r="F208" t="s">
        <v>39</v>
      </c>
      <c r="G208" t="s">
        <v>40</v>
      </c>
      <c r="H208">
        <v>3</v>
      </c>
      <c r="I208">
        <v>1</v>
      </c>
      <c r="J208" t="s">
        <v>54</v>
      </c>
      <c r="K208" t="s">
        <v>51</v>
      </c>
      <c r="L208">
        <v>2</v>
      </c>
      <c r="M208">
        <v>1</v>
      </c>
      <c r="N208" t="s">
        <v>44</v>
      </c>
      <c r="O208" t="s">
        <v>43</v>
      </c>
      <c r="P208" t="s">
        <v>43</v>
      </c>
      <c r="Q208" t="s">
        <v>44</v>
      </c>
      <c r="R208" t="s">
        <v>43</v>
      </c>
      <c r="S208" t="s">
        <v>44</v>
      </c>
      <c r="T208">
        <v>3</v>
      </c>
      <c r="U208">
        <v>3</v>
      </c>
      <c r="V208">
        <v>2</v>
      </c>
      <c r="W208">
        <v>2</v>
      </c>
      <c r="X208">
        <v>4</v>
      </c>
      <c r="Y208">
        <v>3</v>
      </c>
      <c r="Z208">
        <v>5</v>
      </c>
      <c r="AA208">
        <v>7</v>
      </c>
      <c r="AB208">
        <v>7</v>
      </c>
      <c r="AC208">
        <v>7</v>
      </c>
      <c r="AD208" t="s">
        <v>45</v>
      </c>
      <c r="AE208" t="s">
        <v>45</v>
      </c>
      <c r="AF208" t="s">
        <v>52</v>
      </c>
      <c r="AG208" t="s">
        <v>47</v>
      </c>
      <c r="AH208">
        <v>0</v>
      </c>
      <c r="AI208" t="s">
        <v>58</v>
      </c>
    </row>
    <row r="209" spans="1:35" x14ac:dyDescent="0.25">
      <c r="A209" t="s">
        <v>35</v>
      </c>
      <c r="B209" t="s">
        <v>36</v>
      </c>
      <c r="C209">
        <v>16</v>
      </c>
      <c r="D209" t="s">
        <v>37</v>
      </c>
      <c r="E209" t="s">
        <v>38</v>
      </c>
      <c r="F209" t="s">
        <v>49</v>
      </c>
      <c r="G209" t="s">
        <v>40</v>
      </c>
      <c r="H209">
        <v>4</v>
      </c>
      <c r="I209">
        <v>3</v>
      </c>
      <c r="J209" t="s">
        <v>42</v>
      </c>
      <c r="K209" t="s">
        <v>51</v>
      </c>
      <c r="L209">
        <v>2</v>
      </c>
      <c r="M209">
        <v>1</v>
      </c>
      <c r="N209" t="s">
        <v>44</v>
      </c>
      <c r="O209" t="s">
        <v>44</v>
      </c>
      <c r="P209" t="s">
        <v>43</v>
      </c>
      <c r="Q209" t="s">
        <v>43</v>
      </c>
      <c r="R209" t="s">
        <v>43</v>
      </c>
      <c r="S209" t="s">
        <v>43</v>
      </c>
      <c r="T209">
        <v>3</v>
      </c>
      <c r="U209">
        <v>2</v>
      </c>
      <c r="V209">
        <v>1</v>
      </c>
      <c r="W209">
        <v>1</v>
      </c>
      <c r="X209">
        <v>1</v>
      </c>
      <c r="Y209">
        <v>0</v>
      </c>
      <c r="Z209">
        <v>10</v>
      </c>
      <c r="AA209">
        <v>11</v>
      </c>
      <c r="AB209">
        <v>12</v>
      </c>
      <c r="AC209">
        <v>13</v>
      </c>
      <c r="AD209" t="s">
        <v>46</v>
      </c>
      <c r="AE209" t="s">
        <v>56</v>
      </c>
      <c r="AF209" t="s">
        <v>46</v>
      </c>
      <c r="AG209" t="s">
        <v>47</v>
      </c>
      <c r="AH209">
        <v>2</v>
      </c>
      <c r="AI209" t="s">
        <v>48</v>
      </c>
    </row>
    <row r="210" spans="1:35" x14ac:dyDescent="0.25">
      <c r="A210" t="s">
        <v>35</v>
      </c>
      <c r="B210" t="s">
        <v>36</v>
      </c>
      <c r="C210">
        <v>16</v>
      </c>
      <c r="D210" t="s">
        <v>37</v>
      </c>
      <c r="E210" t="s">
        <v>38</v>
      </c>
      <c r="F210" t="s">
        <v>49</v>
      </c>
      <c r="G210" t="s">
        <v>40</v>
      </c>
      <c r="H210">
        <v>1</v>
      </c>
      <c r="I210">
        <v>1</v>
      </c>
      <c r="J210" t="s">
        <v>41</v>
      </c>
      <c r="K210" t="s">
        <v>51</v>
      </c>
      <c r="L210">
        <v>1</v>
      </c>
      <c r="M210">
        <v>2</v>
      </c>
      <c r="N210" t="s">
        <v>44</v>
      </c>
      <c r="O210" t="s">
        <v>43</v>
      </c>
      <c r="P210" t="s">
        <v>43</v>
      </c>
      <c r="Q210" t="s">
        <v>44</v>
      </c>
      <c r="R210" t="s">
        <v>44</v>
      </c>
      <c r="S210" t="s">
        <v>44</v>
      </c>
      <c r="T210">
        <v>3</v>
      </c>
      <c r="U210">
        <v>2</v>
      </c>
      <c r="V210">
        <v>1</v>
      </c>
      <c r="W210">
        <v>4</v>
      </c>
      <c r="X210">
        <v>5</v>
      </c>
      <c r="Y210">
        <v>0</v>
      </c>
      <c r="Z210">
        <v>6</v>
      </c>
      <c r="AA210">
        <v>9</v>
      </c>
      <c r="AB210">
        <v>9</v>
      </c>
      <c r="AC210">
        <v>10</v>
      </c>
      <c r="AD210" t="s">
        <v>46</v>
      </c>
      <c r="AE210" t="s">
        <v>56</v>
      </c>
      <c r="AF210" t="s">
        <v>46</v>
      </c>
      <c r="AG210" t="s">
        <v>61</v>
      </c>
      <c r="AH210">
        <v>1</v>
      </c>
      <c r="AI210" t="s">
        <v>48</v>
      </c>
    </row>
    <row r="211" spans="1:35" x14ac:dyDescent="0.25">
      <c r="A211" t="s">
        <v>35</v>
      </c>
      <c r="B211" t="s">
        <v>36</v>
      </c>
      <c r="C211">
        <v>17</v>
      </c>
      <c r="D211" t="s">
        <v>63</v>
      </c>
      <c r="E211" t="s">
        <v>38</v>
      </c>
      <c r="F211" t="s">
        <v>49</v>
      </c>
      <c r="G211" t="s">
        <v>40</v>
      </c>
      <c r="H211">
        <v>4</v>
      </c>
      <c r="I211">
        <v>3</v>
      </c>
      <c r="J211" t="s">
        <v>42</v>
      </c>
      <c r="K211" t="s">
        <v>51</v>
      </c>
      <c r="L211">
        <v>3</v>
      </c>
      <c r="M211">
        <v>2</v>
      </c>
      <c r="N211" t="s">
        <v>44</v>
      </c>
      <c r="O211" t="s">
        <v>43</v>
      </c>
      <c r="P211" t="s">
        <v>43</v>
      </c>
      <c r="Q211" t="s">
        <v>43</v>
      </c>
      <c r="R211" t="s">
        <v>43</v>
      </c>
      <c r="S211" t="s">
        <v>43</v>
      </c>
      <c r="T211">
        <v>4</v>
      </c>
      <c r="U211">
        <v>2</v>
      </c>
      <c r="V211">
        <v>1</v>
      </c>
      <c r="W211">
        <v>1</v>
      </c>
      <c r="X211">
        <v>4</v>
      </c>
      <c r="Y211">
        <v>0</v>
      </c>
      <c r="Z211">
        <v>6</v>
      </c>
      <c r="AA211">
        <v>7</v>
      </c>
      <c r="AB211">
        <v>7</v>
      </c>
      <c r="AC211">
        <v>7</v>
      </c>
      <c r="AD211" t="s">
        <v>45</v>
      </c>
      <c r="AE211" t="s">
        <v>45</v>
      </c>
      <c r="AF211" t="s">
        <v>46</v>
      </c>
      <c r="AG211" t="s">
        <v>57</v>
      </c>
      <c r="AH211">
        <v>0</v>
      </c>
      <c r="AI211" t="s">
        <v>58</v>
      </c>
    </row>
    <row r="212" spans="1:35" x14ac:dyDescent="0.25">
      <c r="A212" t="s">
        <v>35</v>
      </c>
      <c r="B212" t="s">
        <v>36</v>
      </c>
      <c r="C212">
        <v>19</v>
      </c>
      <c r="D212" t="s">
        <v>37</v>
      </c>
      <c r="E212" t="s">
        <v>38</v>
      </c>
      <c r="F212" t="s">
        <v>49</v>
      </c>
      <c r="G212" t="s">
        <v>51</v>
      </c>
      <c r="H212">
        <v>3</v>
      </c>
      <c r="I212">
        <v>3</v>
      </c>
      <c r="J212" t="s">
        <v>51</v>
      </c>
      <c r="K212" t="s">
        <v>51</v>
      </c>
      <c r="L212">
        <v>4</v>
      </c>
      <c r="M212">
        <v>1</v>
      </c>
      <c r="N212" t="s">
        <v>44</v>
      </c>
      <c r="O212" t="s">
        <v>43</v>
      </c>
      <c r="P212" t="s">
        <v>43</v>
      </c>
      <c r="Q212" t="s">
        <v>43</v>
      </c>
      <c r="R212" t="s">
        <v>43</v>
      </c>
      <c r="S212" t="s">
        <v>44</v>
      </c>
      <c r="T212">
        <v>3</v>
      </c>
      <c r="U212">
        <v>3</v>
      </c>
      <c r="V212">
        <v>1</v>
      </c>
      <c r="W212">
        <v>2</v>
      </c>
      <c r="X212">
        <v>3</v>
      </c>
      <c r="Y212">
        <v>0</v>
      </c>
      <c r="Z212">
        <v>10</v>
      </c>
      <c r="AA212">
        <v>8</v>
      </c>
      <c r="AB212">
        <v>8</v>
      </c>
      <c r="AC212">
        <v>8</v>
      </c>
      <c r="AD212" t="s">
        <v>45</v>
      </c>
      <c r="AE212" t="s">
        <v>45</v>
      </c>
      <c r="AF212" t="s">
        <v>46</v>
      </c>
      <c r="AG212" t="s">
        <v>64</v>
      </c>
      <c r="AH212">
        <v>0</v>
      </c>
      <c r="AI212" t="s">
        <v>58</v>
      </c>
    </row>
    <row r="213" spans="1:35" x14ac:dyDescent="0.25">
      <c r="A213" t="s">
        <v>35</v>
      </c>
      <c r="B213" t="s">
        <v>59</v>
      </c>
      <c r="C213">
        <v>17</v>
      </c>
      <c r="D213" t="s">
        <v>37</v>
      </c>
      <c r="E213" t="s">
        <v>53</v>
      </c>
      <c r="F213" t="s">
        <v>49</v>
      </c>
      <c r="G213" t="s">
        <v>40</v>
      </c>
      <c r="H213">
        <v>4</v>
      </c>
      <c r="I213">
        <v>4</v>
      </c>
      <c r="J213" t="s">
        <v>54</v>
      </c>
      <c r="K213" t="s">
        <v>51</v>
      </c>
      <c r="L213">
        <v>2</v>
      </c>
      <c r="M213">
        <v>1</v>
      </c>
      <c r="N213" t="s">
        <v>44</v>
      </c>
      <c r="O213" t="s">
        <v>43</v>
      </c>
      <c r="P213" t="s">
        <v>43</v>
      </c>
      <c r="Q213" t="s">
        <v>44</v>
      </c>
      <c r="R213" t="s">
        <v>43</v>
      </c>
      <c r="S213" t="s">
        <v>43</v>
      </c>
      <c r="T213">
        <v>3</v>
      </c>
      <c r="U213">
        <v>5</v>
      </c>
      <c r="V213">
        <v>4</v>
      </c>
      <c r="W213">
        <v>5</v>
      </c>
      <c r="X213">
        <v>3</v>
      </c>
      <c r="Y213">
        <v>0</v>
      </c>
      <c r="Z213">
        <v>13</v>
      </c>
      <c r="AA213">
        <v>12</v>
      </c>
      <c r="AB213">
        <v>12</v>
      </c>
      <c r="AC213">
        <v>13</v>
      </c>
      <c r="AD213" t="s">
        <v>46</v>
      </c>
      <c r="AE213" t="s">
        <v>45</v>
      </c>
      <c r="AF213" t="s">
        <v>46</v>
      </c>
      <c r="AG213" t="s">
        <v>47</v>
      </c>
      <c r="AH213">
        <v>1</v>
      </c>
      <c r="AI213" t="s">
        <v>48</v>
      </c>
    </row>
    <row r="214" spans="1:35" x14ac:dyDescent="0.25">
      <c r="A214" t="s">
        <v>35</v>
      </c>
      <c r="B214" t="s">
        <v>36</v>
      </c>
      <c r="C214">
        <v>16</v>
      </c>
      <c r="D214" t="s">
        <v>37</v>
      </c>
      <c r="E214" t="s">
        <v>38</v>
      </c>
      <c r="F214" t="s">
        <v>39</v>
      </c>
      <c r="G214" t="s">
        <v>40</v>
      </c>
      <c r="H214">
        <v>2</v>
      </c>
      <c r="I214">
        <v>2</v>
      </c>
      <c r="J214" t="s">
        <v>51</v>
      </c>
      <c r="K214" t="s">
        <v>51</v>
      </c>
      <c r="L214">
        <v>2</v>
      </c>
      <c r="M214">
        <v>1</v>
      </c>
      <c r="N214" t="s">
        <v>43</v>
      </c>
      <c r="O214" t="s">
        <v>43</v>
      </c>
      <c r="P214" t="s">
        <v>43</v>
      </c>
      <c r="Q214" t="s">
        <v>44</v>
      </c>
      <c r="R214" t="s">
        <v>43</v>
      </c>
      <c r="S214" t="s">
        <v>44</v>
      </c>
      <c r="T214">
        <v>3</v>
      </c>
      <c r="U214">
        <v>4</v>
      </c>
      <c r="V214">
        <v>1</v>
      </c>
      <c r="W214">
        <v>1</v>
      </c>
      <c r="X214">
        <v>4</v>
      </c>
      <c r="Y214">
        <v>0</v>
      </c>
      <c r="Z214">
        <v>0</v>
      </c>
      <c r="AA214">
        <v>12</v>
      </c>
      <c r="AB214">
        <v>13</v>
      </c>
      <c r="AC214">
        <v>14</v>
      </c>
      <c r="AD214" t="s">
        <v>55</v>
      </c>
      <c r="AE214" t="s">
        <v>56</v>
      </c>
      <c r="AF214" t="s">
        <v>52</v>
      </c>
      <c r="AG214" t="s">
        <v>47</v>
      </c>
      <c r="AH214">
        <v>2</v>
      </c>
      <c r="AI214" t="s">
        <v>48</v>
      </c>
    </row>
    <row r="215" spans="1:35" x14ac:dyDescent="0.25">
      <c r="A215" t="s">
        <v>35</v>
      </c>
      <c r="B215" t="s">
        <v>59</v>
      </c>
      <c r="C215">
        <v>18</v>
      </c>
      <c r="D215" t="s">
        <v>37</v>
      </c>
      <c r="E215" t="s">
        <v>38</v>
      </c>
      <c r="F215" t="s">
        <v>49</v>
      </c>
      <c r="G215" t="s">
        <v>40</v>
      </c>
      <c r="H215">
        <v>2</v>
      </c>
      <c r="I215">
        <v>2</v>
      </c>
      <c r="J215" t="s">
        <v>54</v>
      </c>
      <c r="K215" t="s">
        <v>51</v>
      </c>
      <c r="L215">
        <v>2</v>
      </c>
      <c r="M215">
        <v>1</v>
      </c>
      <c r="N215" t="s">
        <v>44</v>
      </c>
      <c r="O215" t="s">
        <v>43</v>
      </c>
      <c r="P215" t="s">
        <v>43</v>
      </c>
      <c r="Q215" t="s">
        <v>43</v>
      </c>
      <c r="R215" t="s">
        <v>43</v>
      </c>
      <c r="S215" t="s">
        <v>44</v>
      </c>
      <c r="T215">
        <v>4</v>
      </c>
      <c r="U215">
        <v>4</v>
      </c>
      <c r="V215">
        <v>2</v>
      </c>
      <c r="W215">
        <v>4</v>
      </c>
      <c r="X215">
        <v>5</v>
      </c>
      <c r="Y215">
        <v>1</v>
      </c>
      <c r="Z215">
        <v>15</v>
      </c>
      <c r="AA215">
        <v>6</v>
      </c>
      <c r="AB215">
        <v>7</v>
      </c>
      <c r="AC215">
        <v>8</v>
      </c>
      <c r="AD215" t="s">
        <v>45</v>
      </c>
      <c r="AE215" t="s">
        <v>45</v>
      </c>
      <c r="AF215" t="s">
        <v>46</v>
      </c>
      <c r="AG215" t="s">
        <v>47</v>
      </c>
      <c r="AH215">
        <v>2</v>
      </c>
      <c r="AI215" t="s">
        <v>48</v>
      </c>
    </row>
    <row r="216" spans="1:35" x14ac:dyDescent="0.25">
      <c r="A216" t="s">
        <v>35</v>
      </c>
      <c r="B216" t="s">
        <v>36</v>
      </c>
      <c r="C216">
        <v>17</v>
      </c>
      <c r="D216" t="s">
        <v>63</v>
      </c>
      <c r="E216" t="s">
        <v>53</v>
      </c>
      <c r="F216" t="s">
        <v>49</v>
      </c>
      <c r="G216" t="s">
        <v>40</v>
      </c>
      <c r="H216">
        <v>4</v>
      </c>
      <c r="I216">
        <v>4</v>
      </c>
      <c r="J216" t="s">
        <v>54</v>
      </c>
      <c r="K216" t="s">
        <v>51</v>
      </c>
      <c r="L216">
        <v>1</v>
      </c>
      <c r="M216">
        <v>1</v>
      </c>
      <c r="N216" t="s">
        <v>44</v>
      </c>
      <c r="O216" t="s">
        <v>43</v>
      </c>
      <c r="P216" t="s">
        <v>43</v>
      </c>
      <c r="Q216" t="s">
        <v>44</v>
      </c>
      <c r="R216" t="s">
        <v>44</v>
      </c>
      <c r="S216" t="s">
        <v>44</v>
      </c>
      <c r="T216">
        <v>2</v>
      </c>
      <c r="U216">
        <v>1</v>
      </c>
      <c r="V216">
        <v>1</v>
      </c>
      <c r="W216">
        <v>2</v>
      </c>
      <c r="X216">
        <v>3</v>
      </c>
      <c r="Y216">
        <v>0</v>
      </c>
      <c r="Z216">
        <v>12</v>
      </c>
      <c r="AA216">
        <v>8</v>
      </c>
      <c r="AB216">
        <v>10</v>
      </c>
      <c r="AC216">
        <v>10</v>
      </c>
      <c r="AD216" t="s">
        <v>46</v>
      </c>
      <c r="AE216" t="s">
        <v>45</v>
      </c>
      <c r="AF216" t="s">
        <v>46</v>
      </c>
      <c r="AG216" t="s">
        <v>61</v>
      </c>
      <c r="AH216">
        <v>2</v>
      </c>
      <c r="AI216" t="s">
        <v>48</v>
      </c>
    </row>
    <row r="217" spans="1:35" x14ac:dyDescent="0.25">
      <c r="A217" t="s">
        <v>35</v>
      </c>
      <c r="B217" t="s">
        <v>36</v>
      </c>
      <c r="C217">
        <v>17</v>
      </c>
      <c r="D217" t="s">
        <v>37</v>
      </c>
      <c r="E217" t="s">
        <v>53</v>
      </c>
      <c r="F217" t="s">
        <v>49</v>
      </c>
      <c r="G217" t="s">
        <v>40</v>
      </c>
      <c r="H217">
        <v>3</v>
      </c>
      <c r="I217">
        <v>2</v>
      </c>
      <c r="J217" t="s">
        <v>51</v>
      </c>
      <c r="K217" t="s">
        <v>51</v>
      </c>
      <c r="L217">
        <v>2</v>
      </c>
      <c r="M217">
        <v>2</v>
      </c>
      <c r="N217" t="s">
        <v>44</v>
      </c>
      <c r="O217" t="s">
        <v>44</v>
      </c>
      <c r="P217" t="s">
        <v>43</v>
      </c>
      <c r="Q217" t="s">
        <v>44</v>
      </c>
      <c r="R217" t="s">
        <v>43</v>
      </c>
      <c r="S217" t="s">
        <v>44</v>
      </c>
      <c r="T217">
        <v>4</v>
      </c>
      <c r="U217">
        <v>4</v>
      </c>
      <c r="V217">
        <v>1</v>
      </c>
      <c r="W217">
        <v>3</v>
      </c>
      <c r="X217">
        <v>1</v>
      </c>
      <c r="Y217">
        <v>0</v>
      </c>
      <c r="Z217">
        <v>2</v>
      </c>
      <c r="AA217">
        <v>14</v>
      </c>
      <c r="AB217">
        <v>15</v>
      </c>
      <c r="AC217">
        <v>15</v>
      </c>
      <c r="AD217" t="s">
        <v>55</v>
      </c>
      <c r="AE217" t="s">
        <v>56</v>
      </c>
      <c r="AF217" t="s">
        <v>52</v>
      </c>
      <c r="AG217" t="s">
        <v>47</v>
      </c>
      <c r="AH217">
        <v>1</v>
      </c>
      <c r="AI217" t="s">
        <v>48</v>
      </c>
    </row>
    <row r="218" spans="1:35" x14ac:dyDescent="0.25">
      <c r="A218" t="s">
        <v>35</v>
      </c>
      <c r="B218" t="s">
        <v>36</v>
      </c>
      <c r="C218">
        <v>17</v>
      </c>
      <c r="D218" t="s">
        <v>37</v>
      </c>
      <c r="E218" t="s">
        <v>38</v>
      </c>
      <c r="F218" t="s">
        <v>49</v>
      </c>
      <c r="G218" t="s">
        <v>40</v>
      </c>
      <c r="H218">
        <v>4</v>
      </c>
      <c r="I218">
        <v>3</v>
      </c>
      <c r="J218" t="s">
        <v>51</v>
      </c>
      <c r="K218" t="s">
        <v>51</v>
      </c>
      <c r="L218">
        <v>2</v>
      </c>
      <c r="M218">
        <v>1</v>
      </c>
      <c r="N218" t="s">
        <v>44</v>
      </c>
      <c r="O218" t="s">
        <v>44</v>
      </c>
      <c r="P218" t="s">
        <v>43</v>
      </c>
      <c r="Q218" t="s">
        <v>44</v>
      </c>
      <c r="R218" t="s">
        <v>43</v>
      </c>
      <c r="S218" t="s">
        <v>43</v>
      </c>
      <c r="T218">
        <v>4</v>
      </c>
      <c r="U218">
        <v>5</v>
      </c>
      <c r="V218">
        <v>2</v>
      </c>
      <c r="W218">
        <v>4</v>
      </c>
      <c r="X218">
        <v>1</v>
      </c>
      <c r="Y218">
        <v>2</v>
      </c>
      <c r="Z218">
        <v>22</v>
      </c>
      <c r="AA218">
        <v>6</v>
      </c>
      <c r="AB218">
        <v>6</v>
      </c>
      <c r="AC218">
        <v>4</v>
      </c>
      <c r="AD218" t="s">
        <v>45</v>
      </c>
      <c r="AE218" t="s">
        <v>45</v>
      </c>
      <c r="AF218" t="s">
        <v>62</v>
      </c>
      <c r="AG218" t="s">
        <v>47</v>
      </c>
      <c r="AH218">
        <v>-2</v>
      </c>
      <c r="AI218" t="s">
        <v>60</v>
      </c>
    </row>
    <row r="219" spans="1:35" x14ac:dyDescent="0.25">
      <c r="A219" t="s">
        <v>35</v>
      </c>
      <c r="B219" t="s">
        <v>59</v>
      </c>
      <c r="C219">
        <v>18</v>
      </c>
      <c r="D219" t="s">
        <v>37</v>
      </c>
      <c r="E219" t="s">
        <v>53</v>
      </c>
      <c r="F219" t="s">
        <v>49</v>
      </c>
      <c r="G219" t="s">
        <v>50</v>
      </c>
      <c r="H219">
        <v>3</v>
      </c>
      <c r="I219">
        <v>3</v>
      </c>
      <c r="J219" t="s">
        <v>54</v>
      </c>
      <c r="K219" t="s">
        <v>23</v>
      </c>
      <c r="L219">
        <v>2</v>
      </c>
      <c r="M219">
        <v>1</v>
      </c>
      <c r="N219" t="s">
        <v>44</v>
      </c>
      <c r="O219" t="s">
        <v>43</v>
      </c>
      <c r="P219" t="s">
        <v>43</v>
      </c>
      <c r="Q219" t="s">
        <v>44</v>
      </c>
      <c r="R219" t="s">
        <v>43</v>
      </c>
      <c r="S219" t="s">
        <v>44</v>
      </c>
      <c r="T219">
        <v>2</v>
      </c>
      <c r="U219">
        <v>4</v>
      </c>
      <c r="V219">
        <v>2</v>
      </c>
      <c r="W219">
        <v>4</v>
      </c>
      <c r="X219">
        <v>4</v>
      </c>
      <c r="Y219">
        <v>1</v>
      </c>
      <c r="Z219">
        <v>13</v>
      </c>
      <c r="AA219">
        <v>6</v>
      </c>
      <c r="AB219">
        <v>6</v>
      </c>
      <c r="AC219">
        <v>8</v>
      </c>
      <c r="AD219" t="s">
        <v>45</v>
      </c>
      <c r="AE219" t="s">
        <v>45</v>
      </c>
      <c r="AF219" t="s">
        <v>46</v>
      </c>
      <c r="AG219" t="s">
        <v>47</v>
      </c>
      <c r="AH219">
        <v>2</v>
      </c>
      <c r="AI219" t="s">
        <v>48</v>
      </c>
    </row>
    <row r="220" spans="1:35" x14ac:dyDescent="0.25">
      <c r="A220" t="s">
        <v>35</v>
      </c>
      <c r="B220" t="s">
        <v>36</v>
      </c>
      <c r="C220">
        <v>17</v>
      </c>
      <c r="D220" t="s">
        <v>37</v>
      </c>
      <c r="E220" t="s">
        <v>38</v>
      </c>
      <c r="F220" t="s">
        <v>49</v>
      </c>
      <c r="G220" t="s">
        <v>50</v>
      </c>
      <c r="H220">
        <v>2</v>
      </c>
      <c r="I220">
        <v>3</v>
      </c>
      <c r="J220" t="s">
        <v>41</v>
      </c>
      <c r="K220" t="s">
        <v>51</v>
      </c>
      <c r="L220">
        <v>1</v>
      </c>
      <c r="M220">
        <v>2</v>
      </c>
      <c r="N220" t="s">
        <v>44</v>
      </c>
      <c r="O220" t="s">
        <v>43</v>
      </c>
      <c r="P220" t="s">
        <v>43</v>
      </c>
      <c r="Q220" t="s">
        <v>44</v>
      </c>
      <c r="R220" t="s">
        <v>44</v>
      </c>
      <c r="S220" t="s">
        <v>44</v>
      </c>
      <c r="T220">
        <v>3</v>
      </c>
      <c r="U220">
        <v>3</v>
      </c>
      <c r="V220">
        <v>1</v>
      </c>
      <c r="W220">
        <v>4</v>
      </c>
      <c r="X220">
        <v>3</v>
      </c>
      <c r="Y220">
        <v>0</v>
      </c>
      <c r="Z220">
        <v>3</v>
      </c>
      <c r="AA220">
        <v>7</v>
      </c>
      <c r="AB220">
        <v>7</v>
      </c>
      <c r="AC220">
        <v>8</v>
      </c>
      <c r="AD220" t="s">
        <v>45</v>
      </c>
      <c r="AE220" t="s">
        <v>45</v>
      </c>
      <c r="AF220" t="s">
        <v>52</v>
      </c>
      <c r="AG220" t="s">
        <v>61</v>
      </c>
      <c r="AH220">
        <v>1</v>
      </c>
      <c r="AI220" t="s">
        <v>48</v>
      </c>
    </row>
    <row r="221" spans="1:35" x14ac:dyDescent="0.25">
      <c r="A221" t="s">
        <v>35</v>
      </c>
      <c r="B221" t="s">
        <v>36</v>
      </c>
      <c r="C221">
        <v>17</v>
      </c>
      <c r="D221" t="s">
        <v>37</v>
      </c>
      <c r="E221" t="s">
        <v>38</v>
      </c>
      <c r="F221" t="s">
        <v>49</v>
      </c>
      <c r="G221" t="s">
        <v>40</v>
      </c>
      <c r="H221">
        <v>2</v>
      </c>
      <c r="I221">
        <v>2</v>
      </c>
      <c r="J221" t="s">
        <v>41</v>
      </c>
      <c r="K221" t="s">
        <v>41</v>
      </c>
      <c r="L221">
        <v>3</v>
      </c>
      <c r="M221">
        <v>1</v>
      </c>
      <c r="N221" t="s">
        <v>44</v>
      </c>
      <c r="O221" t="s">
        <v>43</v>
      </c>
      <c r="P221" t="s">
        <v>43</v>
      </c>
      <c r="Q221" t="s">
        <v>43</v>
      </c>
      <c r="R221" t="s">
        <v>43</v>
      </c>
      <c r="S221" t="s">
        <v>44</v>
      </c>
      <c r="T221">
        <v>3</v>
      </c>
      <c r="U221">
        <v>3</v>
      </c>
      <c r="V221">
        <v>1</v>
      </c>
      <c r="W221">
        <v>1</v>
      </c>
      <c r="X221">
        <v>4</v>
      </c>
      <c r="Y221">
        <v>0</v>
      </c>
      <c r="Z221">
        <v>4</v>
      </c>
      <c r="AA221">
        <v>9</v>
      </c>
      <c r="AB221">
        <v>10</v>
      </c>
      <c r="AC221">
        <v>10</v>
      </c>
      <c r="AD221" t="s">
        <v>46</v>
      </c>
      <c r="AE221" t="s">
        <v>56</v>
      </c>
      <c r="AF221" t="s">
        <v>52</v>
      </c>
      <c r="AG221" t="s">
        <v>57</v>
      </c>
      <c r="AH221">
        <v>1</v>
      </c>
      <c r="AI221" t="s">
        <v>48</v>
      </c>
    </row>
    <row r="222" spans="1:35" x14ac:dyDescent="0.25">
      <c r="A222" t="s">
        <v>35</v>
      </c>
      <c r="B222" t="s">
        <v>36</v>
      </c>
      <c r="C222">
        <v>17</v>
      </c>
      <c r="D222" t="s">
        <v>63</v>
      </c>
      <c r="E222" t="s">
        <v>38</v>
      </c>
      <c r="F222" t="s">
        <v>49</v>
      </c>
      <c r="G222" t="s">
        <v>40</v>
      </c>
      <c r="H222">
        <v>2</v>
      </c>
      <c r="I222">
        <v>1</v>
      </c>
      <c r="J222" t="s">
        <v>41</v>
      </c>
      <c r="K222" t="s">
        <v>54</v>
      </c>
      <c r="L222">
        <v>2</v>
      </c>
      <c r="M222">
        <v>2</v>
      </c>
      <c r="N222" t="s">
        <v>44</v>
      </c>
      <c r="O222" t="s">
        <v>43</v>
      </c>
      <c r="P222" t="s">
        <v>44</v>
      </c>
      <c r="Q222" t="s">
        <v>43</v>
      </c>
      <c r="R222" t="s">
        <v>43</v>
      </c>
      <c r="S222" t="s">
        <v>44</v>
      </c>
      <c r="T222">
        <v>2</v>
      </c>
      <c r="U222">
        <v>5</v>
      </c>
      <c r="V222">
        <v>1</v>
      </c>
      <c r="W222">
        <v>2</v>
      </c>
      <c r="X222">
        <v>5</v>
      </c>
      <c r="Y222">
        <v>0</v>
      </c>
      <c r="Z222">
        <v>2</v>
      </c>
      <c r="AA222">
        <v>6</v>
      </c>
      <c r="AB222">
        <v>6</v>
      </c>
      <c r="AC222">
        <v>6</v>
      </c>
      <c r="AD222" t="s">
        <v>45</v>
      </c>
      <c r="AE222" t="s">
        <v>45</v>
      </c>
      <c r="AF222" t="s">
        <v>52</v>
      </c>
      <c r="AG222" t="s">
        <v>47</v>
      </c>
      <c r="AH222">
        <v>0</v>
      </c>
      <c r="AI222" t="s">
        <v>58</v>
      </c>
    </row>
    <row r="223" spans="1:35" x14ac:dyDescent="0.25">
      <c r="A223" t="s">
        <v>35</v>
      </c>
      <c r="B223" t="s">
        <v>36</v>
      </c>
      <c r="C223">
        <v>17</v>
      </c>
      <c r="D223" t="s">
        <v>37</v>
      </c>
      <c r="E223" t="s">
        <v>38</v>
      </c>
      <c r="F223" t="s">
        <v>49</v>
      </c>
      <c r="G223" t="s">
        <v>40</v>
      </c>
      <c r="H223">
        <v>1</v>
      </c>
      <c r="I223">
        <v>1</v>
      </c>
      <c r="J223" t="s">
        <v>41</v>
      </c>
      <c r="K223" t="s">
        <v>51</v>
      </c>
      <c r="L223">
        <v>3</v>
      </c>
      <c r="M223">
        <v>1</v>
      </c>
      <c r="N223" t="s">
        <v>44</v>
      </c>
      <c r="O223" t="s">
        <v>43</v>
      </c>
      <c r="P223" t="s">
        <v>44</v>
      </c>
      <c r="Q223" t="s">
        <v>43</v>
      </c>
      <c r="R223" t="s">
        <v>44</v>
      </c>
      <c r="S223" t="s">
        <v>43</v>
      </c>
      <c r="T223">
        <v>3</v>
      </c>
      <c r="U223">
        <v>4</v>
      </c>
      <c r="V223">
        <v>1</v>
      </c>
      <c r="W223">
        <v>1</v>
      </c>
      <c r="X223">
        <v>5</v>
      </c>
      <c r="Y223">
        <v>1</v>
      </c>
      <c r="Z223">
        <v>0</v>
      </c>
      <c r="AA223">
        <v>6</v>
      </c>
      <c r="AB223">
        <v>5</v>
      </c>
      <c r="AC223">
        <v>0</v>
      </c>
      <c r="AD223" t="s">
        <v>45</v>
      </c>
      <c r="AE223" t="s">
        <v>45</v>
      </c>
      <c r="AF223" t="s">
        <v>52</v>
      </c>
      <c r="AG223" t="s">
        <v>57</v>
      </c>
      <c r="AH223">
        <v>-6</v>
      </c>
      <c r="AI223" t="s">
        <v>60</v>
      </c>
    </row>
    <row r="224" spans="1:35" x14ac:dyDescent="0.25">
      <c r="A224" t="s">
        <v>35</v>
      </c>
      <c r="B224" t="s">
        <v>36</v>
      </c>
      <c r="C224">
        <v>16</v>
      </c>
      <c r="D224" t="s">
        <v>37</v>
      </c>
      <c r="E224" t="s">
        <v>38</v>
      </c>
      <c r="F224" t="s">
        <v>49</v>
      </c>
      <c r="G224" t="s">
        <v>40</v>
      </c>
      <c r="H224">
        <v>2</v>
      </c>
      <c r="I224">
        <v>3</v>
      </c>
      <c r="J224" t="s">
        <v>54</v>
      </c>
      <c r="K224" t="s">
        <v>42</v>
      </c>
      <c r="L224">
        <v>2</v>
      </c>
      <c r="M224">
        <v>1</v>
      </c>
      <c r="N224" t="s">
        <v>43</v>
      </c>
      <c r="O224" t="s">
        <v>44</v>
      </c>
      <c r="P224" t="s">
        <v>44</v>
      </c>
      <c r="Q224" t="s">
        <v>44</v>
      </c>
      <c r="R224" t="s">
        <v>43</v>
      </c>
      <c r="S224" t="s">
        <v>44</v>
      </c>
      <c r="T224">
        <v>3</v>
      </c>
      <c r="U224">
        <v>1</v>
      </c>
      <c r="V224">
        <v>1</v>
      </c>
      <c r="W224">
        <v>1</v>
      </c>
      <c r="X224">
        <v>3</v>
      </c>
      <c r="Y224">
        <v>0</v>
      </c>
      <c r="Z224">
        <v>2</v>
      </c>
      <c r="AA224">
        <v>16</v>
      </c>
      <c r="AB224">
        <v>16</v>
      </c>
      <c r="AC224">
        <v>17</v>
      </c>
      <c r="AD224" t="s">
        <v>55</v>
      </c>
      <c r="AE224" t="s">
        <v>56</v>
      </c>
      <c r="AF224" t="s">
        <v>52</v>
      </c>
      <c r="AG224" t="s">
        <v>47</v>
      </c>
      <c r="AH224">
        <v>1</v>
      </c>
      <c r="AI224" t="s">
        <v>48</v>
      </c>
    </row>
    <row r="225" spans="1:35" x14ac:dyDescent="0.25">
      <c r="A225" t="s">
        <v>35</v>
      </c>
      <c r="B225" t="s">
        <v>59</v>
      </c>
      <c r="C225">
        <v>18</v>
      </c>
      <c r="D225" t="s">
        <v>37</v>
      </c>
      <c r="E225" t="s">
        <v>38</v>
      </c>
      <c r="F225" t="s">
        <v>49</v>
      </c>
      <c r="G225" t="s">
        <v>40</v>
      </c>
      <c r="H225">
        <v>2</v>
      </c>
      <c r="I225">
        <v>2</v>
      </c>
      <c r="J225" t="s">
        <v>51</v>
      </c>
      <c r="K225" t="s">
        <v>51</v>
      </c>
      <c r="L225">
        <v>2</v>
      </c>
      <c r="M225">
        <v>2</v>
      </c>
      <c r="N225" t="s">
        <v>44</v>
      </c>
      <c r="O225" t="s">
        <v>43</v>
      </c>
      <c r="P225" t="s">
        <v>43</v>
      </c>
      <c r="Q225" t="s">
        <v>44</v>
      </c>
      <c r="R225" t="s">
        <v>43</v>
      </c>
      <c r="S225" t="s">
        <v>44</v>
      </c>
      <c r="T225">
        <v>3</v>
      </c>
      <c r="U225">
        <v>3</v>
      </c>
      <c r="V225">
        <v>5</v>
      </c>
      <c r="W225">
        <v>5</v>
      </c>
      <c r="X225">
        <v>4</v>
      </c>
      <c r="Y225">
        <v>0</v>
      </c>
      <c r="Z225">
        <v>0</v>
      </c>
      <c r="AA225">
        <v>12</v>
      </c>
      <c r="AB225">
        <v>13</v>
      </c>
      <c r="AC225">
        <v>13</v>
      </c>
      <c r="AD225" t="s">
        <v>46</v>
      </c>
      <c r="AE225" t="s">
        <v>56</v>
      </c>
      <c r="AF225" t="s">
        <v>52</v>
      </c>
      <c r="AG225" t="s">
        <v>47</v>
      </c>
      <c r="AH225">
        <v>1</v>
      </c>
      <c r="AI225" t="s">
        <v>48</v>
      </c>
    </row>
    <row r="226" spans="1:35" x14ac:dyDescent="0.25">
      <c r="A226" t="s">
        <v>35</v>
      </c>
      <c r="B226" t="s">
        <v>36</v>
      </c>
      <c r="C226">
        <v>16</v>
      </c>
      <c r="D226" t="s">
        <v>37</v>
      </c>
      <c r="E226" t="s">
        <v>38</v>
      </c>
      <c r="F226" t="s">
        <v>49</v>
      </c>
      <c r="G226" t="s">
        <v>40</v>
      </c>
      <c r="H226">
        <v>4</v>
      </c>
      <c r="I226">
        <v>4</v>
      </c>
      <c r="J226" t="s">
        <v>42</v>
      </c>
      <c r="K226" t="s">
        <v>54</v>
      </c>
      <c r="L226">
        <v>3</v>
      </c>
      <c r="M226">
        <v>1</v>
      </c>
      <c r="N226" t="s">
        <v>44</v>
      </c>
      <c r="O226" t="s">
        <v>43</v>
      </c>
      <c r="P226" t="s">
        <v>44</v>
      </c>
      <c r="Q226" t="s">
        <v>43</v>
      </c>
      <c r="R226" t="s">
        <v>43</v>
      </c>
      <c r="S226" t="s">
        <v>44</v>
      </c>
      <c r="T226">
        <v>3</v>
      </c>
      <c r="U226">
        <v>2</v>
      </c>
      <c r="V226">
        <v>1</v>
      </c>
      <c r="W226">
        <v>1</v>
      </c>
      <c r="X226">
        <v>5</v>
      </c>
      <c r="Y226">
        <v>0</v>
      </c>
      <c r="Z226">
        <v>0</v>
      </c>
      <c r="AA226">
        <v>13</v>
      </c>
      <c r="AB226">
        <v>13</v>
      </c>
      <c r="AC226">
        <v>14</v>
      </c>
      <c r="AD226" t="s">
        <v>55</v>
      </c>
      <c r="AE226" t="s">
        <v>56</v>
      </c>
      <c r="AF226" t="s">
        <v>52</v>
      </c>
      <c r="AG226" t="s">
        <v>57</v>
      </c>
      <c r="AH226">
        <v>1</v>
      </c>
      <c r="AI226" t="s">
        <v>48</v>
      </c>
    </row>
    <row r="227" spans="1:35" x14ac:dyDescent="0.25">
      <c r="A227" t="s">
        <v>35</v>
      </c>
      <c r="B227" t="s">
        <v>36</v>
      </c>
      <c r="C227">
        <v>18</v>
      </c>
      <c r="D227" t="s">
        <v>63</v>
      </c>
      <c r="E227" t="s">
        <v>38</v>
      </c>
      <c r="F227" t="s">
        <v>49</v>
      </c>
      <c r="G227" t="s">
        <v>40</v>
      </c>
      <c r="H227">
        <v>3</v>
      </c>
      <c r="I227">
        <v>1</v>
      </c>
      <c r="J227" t="s">
        <v>51</v>
      </c>
      <c r="K227" t="s">
        <v>51</v>
      </c>
      <c r="L227">
        <v>2</v>
      </c>
      <c r="M227">
        <v>1</v>
      </c>
      <c r="N227" t="s">
        <v>44</v>
      </c>
      <c r="O227" t="s">
        <v>44</v>
      </c>
      <c r="P227" t="s">
        <v>44</v>
      </c>
      <c r="Q227" t="s">
        <v>43</v>
      </c>
      <c r="R227" t="s">
        <v>43</v>
      </c>
      <c r="S227" t="s">
        <v>43</v>
      </c>
      <c r="T227">
        <v>3</v>
      </c>
      <c r="U227">
        <v>3</v>
      </c>
      <c r="V227">
        <v>1</v>
      </c>
      <c r="W227">
        <v>1</v>
      </c>
      <c r="X227">
        <v>4</v>
      </c>
      <c r="Y227">
        <v>1</v>
      </c>
      <c r="Z227">
        <v>16</v>
      </c>
      <c r="AA227">
        <v>9</v>
      </c>
      <c r="AB227">
        <v>8</v>
      </c>
      <c r="AC227">
        <v>7</v>
      </c>
      <c r="AD227" t="s">
        <v>45</v>
      </c>
      <c r="AE227" t="s">
        <v>45</v>
      </c>
      <c r="AF227" t="s">
        <v>62</v>
      </c>
      <c r="AG227" t="s">
        <v>47</v>
      </c>
      <c r="AH227">
        <v>-2</v>
      </c>
      <c r="AI227" t="s">
        <v>60</v>
      </c>
    </row>
    <row r="228" spans="1:35" x14ac:dyDescent="0.25">
      <c r="A228" t="s">
        <v>35</v>
      </c>
      <c r="B228" t="s">
        <v>36</v>
      </c>
      <c r="C228">
        <v>17</v>
      </c>
      <c r="D228" t="s">
        <v>37</v>
      </c>
      <c r="E228" t="s">
        <v>38</v>
      </c>
      <c r="F228" t="s">
        <v>49</v>
      </c>
      <c r="G228" t="s">
        <v>40</v>
      </c>
      <c r="H228">
        <v>3</v>
      </c>
      <c r="I228">
        <v>2</v>
      </c>
      <c r="J228" t="s">
        <v>51</v>
      </c>
      <c r="K228" t="s">
        <v>51</v>
      </c>
      <c r="L228">
        <v>2</v>
      </c>
      <c r="M228">
        <v>1</v>
      </c>
      <c r="N228" t="s">
        <v>44</v>
      </c>
      <c r="O228" t="s">
        <v>44</v>
      </c>
      <c r="P228" t="s">
        <v>44</v>
      </c>
      <c r="Q228" t="s">
        <v>43</v>
      </c>
      <c r="R228" t="s">
        <v>43</v>
      </c>
      <c r="S228" t="s">
        <v>44</v>
      </c>
      <c r="T228">
        <v>3</v>
      </c>
      <c r="U228">
        <v>4</v>
      </c>
      <c r="V228">
        <v>1</v>
      </c>
      <c r="W228">
        <v>3</v>
      </c>
      <c r="X228">
        <v>3</v>
      </c>
      <c r="Y228">
        <v>0</v>
      </c>
      <c r="Z228">
        <v>10</v>
      </c>
      <c r="AA228">
        <v>16</v>
      </c>
      <c r="AB228">
        <v>15</v>
      </c>
      <c r="AC228">
        <v>15</v>
      </c>
      <c r="AD228" t="s">
        <v>55</v>
      </c>
      <c r="AE228" t="s">
        <v>56</v>
      </c>
      <c r="AF228" t="s">
        <v>46</v>
      </c>
      <c r="AG228" t="s">
        <v>47</v>
      </c>
      <c r="AH228">
        <v>-1</v>
      </c>
      <c r="AI228" t="s">
        <v>60</v>
      </c>
    </row>
    <row r="229" spans="1:35" x14ac:dyDescent="0.25">
      <c r="A229" t="s">
        <v>35</v>
      </c>
      <c r="B229" t="s">
        <v>59</v>
      </c>
      <c r="C229">
        <v>17</v>
      </c>
      <c r="D229" t="s">
        <v>37</v>
      </c>
      <c r="E229" t="s">
        <v>53</v>
      </c>
      <c r="F229" t="s">
        <v>49</v>
      </c>
      <c r="G229" t="s">
        <v>50</v>
      </c>
      <c r="H229">
        <v>2</v>
      </c>
      <c r="I229">
        <v>3</v>
      </c>
      <c r="J229" t="s">
        <v>54</v>
      </c>
      <c r="K229" t="s">
        <v>54</v>
      </c>
      <c r="L229">
        <v>2</v>
      </c>
      <c r="M229">
        <v>1</v>
      </c>
      <c r="N229" t="s">
        <v>44</v>
      </c>
      <c r="O229" t="s">
        <v>43</v>
      </c>
      <c r="P229" t="s">
        <v>43</v>
      </c>
      <c r="Q229" t="s">
        <v>44</v>
      </c>
      <c r="R229" t="s">
        <v>43</v>
      </c>
      <c r="S229" t="s">
        <v>44</v>
      </c>
      <c r="T229">
        <v>3</v>
      </c>
      <c r="U229">
        <v>3</v>
      </c>
      <c r="V229">
        <v>1</v>
      </c>
      <c r="W229">
        <v>3</v>
      </c>
      <c r="X229">
        <v>3</v>
      </c>
      <c r="Y229">
        <v>0</v>
      </c>
      <c r="Z229">
        <v>2</v>
      </c>
      <c r="AA229">
        <v>12</v>
      </c>
      <c r="AB229">
        <v>11</v>
      </c>
      <c r="AC229">
        <v>12</v>
      </c>
      <c r="AD229" t="s">
        <v>46</v>
      </c>
      <c r="AE229" t="s">
        <v>56</v>
      </c>
      <c r="AF229" t="s">
        <v>52</v>
      </c>
      <c r="AG229" t="s">
        <v>47</v>
      </c>
      <c r="AH229">
        <v>0</v>
      </c>
      <c r="AI229" t="s">
        <v>58</v>
      </c>
    </row>
    <row r="230" spans="1:35" x14ac:dyDescent="0.25">
      <c r="A230" t="s">
        <v>35</v>
      </c>
      <c r="B230" t="s">
        <v>59</v>
      </c>
      <c r="C230">
        <v>18</v>
      </c>
      <c r="D230" t="s">
        <v>37</v>
      </c>
      <c r="E230" t="s">
        <v>53</v>
      </c>
      <c r="F230" t="s">
        <v>49</v>
      </c>
      <c r="G230" t="s">
        <v>40</v>
      </c>
      <c r="H230">
        <v>2</v>
      </c>
      <c r="I230">
        <v>1</v>
      </c>
      <c r="J230" t="s">
        <v>41</v>
      </c>
      <c r="K230" t="s">
        <v>51</v>
      </c>
      <c r="L230">
        <v>2</v>
      </c>
      <c r="M230">
        <v>4</v>
      </c>
      <c r="N230" t="s">
        <v>43</v>
      </c>
      <c r="O230" t="s">
        <v>43</v>
      </c>
      <c r="P230" t="s">
        <v>43</v>
      </c>
      <c r="Q230" t="s">
        <v>43</v>
      </c>
      <c r="R230" t="s">
        <v>43</v>
      </c>
      <c r="S230" t="s">
        <v>43</v>
      </c>
      <c r="T230">
        <v>3</v>
      </c>
      <c r="U230">
        <v>2</v>
      </c>
      <c r="V230">
        <v>4</v>
      </c>
      <c r="W230">
        <v>5</v>
      </c>
      <c r="X230">
        <v>3</v>
      </c>
      <c r="Y230">
        <v>0</v>
      </c>
      <c r="Z230">
        <v>14</v>
      </c>
      <c r="AA230">
        <v>10</v>
      </c>
      <c r="AB230">
        <v>8</v>
      </c>
      <c r="AC230">
        <v>9</v>
      </c>
      <c r="AD230" t="s">
        <v>45</v>
      </c>
      <c r="AE230" t="s">
        <v>45</v>
      </c>
      <c r="AF230" t="s">
        <v>46</v>
      </c>
      <c r="AG230" t="s">
        <v>47</v>
      </c>
      <c r="AH230">
        <v>-1</v>
      </c>
      <c r="AI230" t="s">
        <v>60</v>
      </c>
    </row>
    <row r="231" spans="1:35" x14ac:dyDescent="0.25">
      <c r="A231" t="s">
        <v>35</v>
      </c>
      <c r="B231" t="s">
        <v>36</v>
      </c>
      <c r="C231">
        <v>17</v>
      </c>
      <c r="D231" t="s">
        <v>37</v>
      </c>
      <c r="E231" t="s">
        <v>38</v>
      </c>
      <c r="F231" t="s">
        <v>39</v>
      </c>
      <c r="G231" t="s">
        <v>40</v>
      </c>
      <c r="H231">
        <v>2</v>
      </c>
      <c r="I231">
        <v>1</v>
      </c>
      <c r="J231" t="s">
        <v>51</v>
      </c>
      <c r="K231" t="s">
        <v>51</v>
      </c>
      <c r="L231">
        <v>3</v>
      </c>
      <c r="M231">
        <v>2</v>
      </c>
      <c r="N231" t="s">
        <v>44</v>
      </c>
      <c r="O231" t="s">
        <v>44</v>
      </c>
      <c r="P231" t="s">
        <v>44</v>
      </c>
      <c r="Q231" t="s">
        <v>43</v>
      </c>
      <c r="R231" t="s">
        <v>43</v>
      </c>
      <c r="S231" t="s">
        <v>43</v>
      </c>
      <c r="T231">
        <v>2</v>
      </c>
      <c r="U231">
        <v>3</v>
      </c>
      <c r="V231">
        <v>1</v>
      </c>
      <c r="W231">
        <v>2</v>
      </c>
      <c r="X231">
        <v>3</v>
      </c>
      <c r="Y231">
        <v>0</v>
      </c>
      <c r="Z231">
        <v>10</v>
      </c>
      <c r="AA231">
        <v>12</v>
      </c>
      <c r="AB231">
        <v>10</v>
      </c>
      <c r="AC231">
        <v>12</v>
      </c>
      <c r="AD231" t="s">
        <v>46</v>
      </c>
      <c r="AE231" t="s">
        <v>56</v>
      </c>
      <c r="AF231" t="s">
        <v>46</v>
      </c>
      <c r="AG231" t="s">
        <v>57</v>
      </c>
      <c r="AH231">
        <v>0</v>
      </c>
      <c r="AI231" t="s">
        <v>58</v>
      </c>
    </row>
    <row r="232" spans="1:35" x14ac:dyDescent="0.25">
      <c r="A232" t="s">
        <v>35</v>
      </c>
      <c r="B232" t="s">
        <v>36</v>
      </c>
      <c r="C232">
        <v>17</v>
      </c>
      <c r="D232" t="s">
        <v>37</v>
      </c>
      <c r="E232" t="s">
        <v>53</v>
      </c>
      <c r="F232" t="s">
        <v>49</v>
      </c>
      <c r="G232" t="s">
        <v>50</v>
      </c>
      <c r="H232">
        <v>4</v>
      </c>
      <c r="I232">
        <v>3</v>
      </c>
      <c r="J232" t="s">
        <v>23</v>
      </c>
      <c r="K232" t="s">
        <v>51</v>
      </c>
      <c r="L232">
        <v>2</v>
      </c>
      <c r="M232">
        <v>1</v>
      </c>
      <c r="N232" t="s">
        <v>44</v>
      </c>
      <c r="O232" t="s">
        <v>44</v>
      </c>
      <c r="P232" t="s">
        <v>44</v>
      </c>
      <c r="Q232" t="s">
        <v>43</v>
      </c>
      <c r="R232" t="s">
        <v>43</v>
      </c>
      <c r="S232" t="s">
        <v>43</v>
      </c>
      <c r="T232">
        <v>2</v>
      </c>
      <c r="U232">
        <v>3</v>
      </c>
      <c r="V232">
        <v>1</v>
      </c>
      <c r="W232">
        <v>2</v>
      </c>
      <c r="X232">
        <v>3</v>
      </c>
      <c r="Y232">
        <v>0</v>
      </c>
      <c r="Z232">
        <v>14</v>
      </c>
      <c r="AA232">
        <v>13</v>
      </c>
      <c r="AB232">
        <v>13</v>
      </c>
      <c r="AC232">
        <v>14</v>
      </c>
      <c r="AD232" t="s">
        <v>55</v>
      </c>
      <c r="AE232" t="s">
        <v>45</v>
      </c>
      <c r="AF232" t="s">
        <v>46</v>
      </c>
      <c r="AG232" t="s">
        <v>47</v>
      </c>
      <c r="AH232">
        <v>1</v>
      </c>
      <c r="AI232" t="s">
        <v>48</v>
      </c>
    </row>
    <row r="233" spans="1:35" x14ac:dyDescent="0.25">
      <c r="A233" t="s">
        <v>35</v>
      </c>
      <c r="B233" t="s">
        <v>59</v>
      </c>
      <c r="C233">
        <v>17</v>
      </c>
      <c r="D233" t="s">
        <v>63</v>
      </c>
      <c r="E233" t="s">
        <v>38</v>
      </c>
      <c r="F233" t="s">
        <v>49</v>
      </c>
      <c r="G233" t="s">
        <v>50</v>
      </c>
      <c r="H233">
        <v>2</v>
      </c>
      <c r="I233">
        <v>2</v>
      </c>
      <c r="J233" t="s">
        <v>51</v>
      </c>
      <c r="K233" t="s">
        <v>51</v>
      </c>
      <c r="L233">
        <v>2</v>
      </c>
      <c r="M233">
        <v>2</v>
      </c>
      <c r="N233" t="s">
        <v>44</v>
      </c>
      <c r="O233" t="s">
        <v>43</v>
      </c>
      <c r="P233" t="s">
        <v>43</v>
      </c>
      <c r="Q233" t="s">
        <v>43</v>
      </c>
      <c r="R233" t="s">
        <v>43</v>
      </c>
      <c r="S233" t="s">
        <v>44</v>
      </c>
      <c r="T233">
        <v>5</v>
      </c>
      <c r="U233">
        <v>2</v>
      </c>
      <c r="V233">
        <v>1</v>
      </c>
      <c r="W233">
        <v>1</v>
      </c>
      <c r="X233">
        <v>1</v>
      </c>
      <c r="Y233">
        <v>0</v>
      </c>
      <c r="Z233">
        <v>4</v>
      </c>
      <c r="AA233">
        <v>11</v>
      </c>
      <c r="AB233">
        <v>11</v>
      </c>
      <c r="AC233">
        <v>11</v>
      </c>
      <c r="AD233" t="s">
        <v>46</v>
      </c>
      <c r="AE233" t="s">
        <v>56</v>
      </c>
      <c r="AF233" t="s">
        <v>52</v>
      </c>
      <c r="AG233" t="s">
        <v>47</v>
      </c>
      <c r="AH233">
        <v>0</v>
      </c>
      <c r="AI233" t="s">
        <v>58</v>
      </c>
    </row>
    <row r="234" spans="1:35" x14ac:dyDescent="0.25">
      <c r="A234" t="s">
        <v>35</v>
      </c>
      <c r="B234" t="s">
        <v>59</v>
      </c>
      <c r="C234">
        <v>17</v>
      </c>
      <c r="D234" t="s">
        <v>37</v>
      </c>
      <c r="E234" t="s">
        <v>38</v>
      </c>
      <c r="F234" t="s">
        <v>49</v>
      </c>
      <c r="G234" t="s">
        <v>40</v>
      </c>
      <c r="H234">
        <v>4</v>
      </c>
      <c r="I234">
        <v>4</v>
      </c>
      <c r="J234" t="s">
        <v>42</v>
      </c>
      <c r="K234" t="s">
        <v>42</v>
      </c>
      <c r="L234">
        <v>2</v>
      </c>
      <c r="M234">
        <v>1</v>
      </c>
      <c r="N234" t="s">
        <v>43</v>
      </c>
      <c r="O234" t="s">
        <v>43</v>
      </c>
      <c r="P234" t="s">
        <v>44</v>
      </c>
      <c r="Q234" t="s">
        <v>43</v>
      </c>
      <c r="R234" t="s">
        <v>43</v>
      </c>
      <c r="S234" t="s">
        <v>43</v>
      </c>
      <c r="T234">
        <v>5</v>
      </c>
      <c r="U234">
        <v>5</v>
      </c>
      <c r="V234">
        <v>1</v>
      </c>
      <c r="W234">
        <v>3</v>
      </c>
      <c r="X234">
        <v>2</v>
      </c>
      <c r="Y234">
        <v>0</v>
      </c>
      <c r="Z234">
        <v>14</v>
      </c>
      <c r="AA234">
        <v>11</v>
      </c>
      <c r="AB234">
        <v>9</v>
      </c>
      <c r="AC234">
        <v>9</v>
      </c>
      <c r="AD234" t="s">
        <v>45</v>
      </c>
      <c r="AE234" t="s">
        <v>45</v>
      </c>
      <c r="AF234" t="s">
        <v>46</v>
      </c>
      <c r="AG234" t="s">
        <v>47</v>
      </c>
      <c r="AH234">
        <v>-2</v>
      </c>
      <c r="AI234" t="s">
        <v>60</v>
      </c>
    </row>
    <row r="235" spans="1:35" x14ac:dyDescent="0.25">
      <c r="A235" t="s">
        <v>35</v>
      </c>
      <c r="B235" t="s">
        <v>59</v>
      </c>
      <c r="C235">
        <v>16</v>
      </c>
      <c r="D235" t="s">
        <v>37</v>
      </c>
      <c r="E235" t="s">
        <v>38</v>
      </c>
      <c r="F235" t="s">
        <v>49</v>
      </c>
      <c r="G235" t="s">
        <v>50</v>
      </c>
      <c r="H235">
        <v>4</v>
      </c>
      <c r="I235">
        <v>4</v>
      </c>
      <c r="J235" t="s">
        <v>23</v>
      </c>
      <c r="K235" t="s">
        <v>51</v>
      </c>
      <c r="L235">
        <v>2</v>
      </c>
      <c r="M235">
        <v>1</v>
      </c>
      <c r="N235" t="s">
        <v>44</v>
      </c>
      <c r="O235" t="s">
        <v>43</v>
      </c>
      <c r="P235" t="s">
        <v>43</v>
      </c>
      <c r="Q235" t="s">
        <v>43</v>
      </c>
      <c r="R235" t="s">
        <v>43</v>
      </c>
      <c r="S235" t="s">
        <v>44</v>
      </c>
      <c r="T235">
        <v>2</v>
      </c>
      <c r="U235">
        <v>4</v>
      </c>
      <c r="V235">
        <v>2</v>
      </c>
      <c r="W235">
        <v>4</v>
      </c>
      <c r="X235">
        <v>1</v>
      </c>
      <c r="Y235">
        <v>0</v>
      </c>
      <c r="Z235">
        <v>2</v>
      </c>
      <c r="AA235">
        <v>14</v>
      </c>
      <c r="AB235">
        <v>13</v>
      </c>
      <c r="AC235">
        <v>13</v>
      </c>
      <c r="AD235" t="s">
        <v>46</v>
      </c>
      <c r="AE235" t="s">
        <v>56</v>
      </c>
      <c r="AF235" t="s">
        <v>52</v>
      </c>
      <c r="AG235" t="s">
        <v>47</v>
      </c>
      <c r="AH235">
        <v>-1</v>
      </c>
      <c r="AI235" t="s">
        <v>60</v>
      </c>
    </row>
    <row r="236" spans="1:35" x14ac:dyDescent="0.25">
      <c r="A236" t="s">
        <v>35</v>
      </c>
      <c r="B236" t="s">
        <v>59</v>
      </c>
      <c r="C236">
        <v>16</v>
      </c>
      <c r="D236" t="s">
        <v>37</v>
      </c>
      <c r="E236" t="s">
        <v>53</v>
      </c>
      <c r="F236" t="s">
        <v>49</v>
      </c>
      <c r="G236" t="s">
        <v>40</v>
      </c>
      <c r="H236">
        <v>1</v>
      </c>
      <c r="I236">
        <v>1</v>
      </c>
      <c r="J236" t="s">
        <v>51</v>
      </c>
      <c r="K236" t="s">
        <v>51</v>
      </c>
      <c r="L236">
        <v>2</v>
      </c>
      <c r="M236">
        <v>2</v>
      </c>
      <c r="N236" t="s">
        <v>44</v>
      </c>
      <c r="O236" t="s">
        <v>43</v>
      </c>
      <c r="P236" t="s">
        <v>43</v>
      </c>
      <c r="Q236" t="s">
        <v>44</v>
      </c>
      <c r="R236" t="s">
        <v>43</v>
      </c>
      <c r="S236" t="s">
        <v>44</v>
      </c>
      <c r="T236">
        <v>4</v>
      </c>
      <c r="U236">
        <v>2</v>
      </c>
      <c r="V236">
        <v>1</v>
      </c>
      <c r="W236">
        <v>1</v>
      </c>
      <c r="X236">
        <v>5</v>
      </c>
      <c r="Y236">
        <v>0</v>
      </c>
      <c r="Z236">
        <v>18</v>
      </c>
      <c r="AA236">
        <v>9</v>
      </c>
      <c r="AB236">
        <v>7</v>
      </c>
      <c r="AC236">
        <v>6</v>
      </c>
      <c r="AD236" t="s">
        <v>45</v>
      </c>
      <c r="AE236" t="s">
        <v>45</v>
      </c>
      <c r="AF236" t="s">
        <v>62</v>
      </c>
      <c r="AG236" t="s">
        <v>47</v>
      </c>
      <c r="AH236">
        <v>-3</v>
      </c>
      <c r="AI236" t="s">
        <v>60</v>
      </c>
    </row>
    <row r="237" spans="1:35" x14ac:dyDescent="0.25">
      <c r="A237" t="s">
        <v>35</v>
      </c>
      <c r="B237" t="s">
        <v>59</v>
      </c>
      <c r="C237">
        <v>16</v>
      </c>
      <c r="D237" t="s">
        <v>37</v>
      </c>
      <c r="E237" t="s">
        <v>38</v>
      </c>
      <c r="F237" t="s">
        <v>49</v>
      </c>
      <c r="G237" t="s">
        <v>40</v>
      </c>
      <c r="H237">
        <v>3</v>
      </c>
      <c r="I237">
        <v>2</v>
      </c>
      <c r="J237" t="s">
        <v>41</v>
      </c>
      <c r="K237" t="s">
        <v>51</v>
      </c>
      <c r="L237">
        <v>3</v>
      </c>
      <c r="M237">
        <v>2</v>
      </c>
      <c r="N237" t="s">
        <v>44</v>
      </c>
      <c r="O237" t="s">
        <v>44</v>
      </c>
      <c r="P237" t="s">
        <v>44</v>
      </c>
      <c r="Q237" t="s">
        <v>43</v>
      </c>
      <c r="R237" t="s">
        <v>43</v>
      </c>
      <c r="S237" t="s">
        <v>43</v>
      </c>
      <c r="T237">
        <v>3</v>
      </c>
      <c r="U237">
        <v>3</v>
      </c>
      <c r="V237">
        <v>1</v>
      </c>
      <c r="W237">
        <v>3</v>
      </c>
      <c r="X237">
        <v>2</v>
      </c>
      <c r="Y237">
        <v>0</v>
      </c>
      <c r="Z237">
        <v>10</v>
      </c>
      <c r="AA237">
        <v>11</v>
      </c>
      <c r="AB237">
        <v>9</v>
      </c>
      <c r="AC237">
        <v>10</v>
      </c>
      <c r="AD237" t="s">
        <v>46</v>
      </c>
      <c r="AE237" t="s">
        <v>56</v>
      </c>
      <c r="AF237" t="s">
        <v>46</v>
      </c>
      <c r="AG237" t="s">
        <v>57</v>
      </c>
      <c r="AH237">
        <v>-1</v>
      </c>
      <c r="AI237" t="s">
        <v>60</v>
      </c>
    </row>
    <row r="238" spans="1:35" x14ac:dyDescent="0.25">
      <c r="A238" t="s">
        <v>35</v>
      </c>
      <c r="B238" t="s">
        <v>59</v>
      </c>
      <c r="C238">
        <v>17</v>
      </c>
      <c r="D238" t="s">
        <v>37</v>
      </c>
      <c r="E238" t="s">
        <v>53</v>
      </c>
      <c r="F238" t="s">
        <v>49</v>
      </c>
      <c r="G238" t="s">
        <v>50</v>
      </c>
      <c r="H238">
        <v>2</v>
      </c>
      <c r="I238">
        <v>2</v>
      </c>
      <c r="J238" t="s">
        <v>51</v>
      </c>
      <c r="K238" t="s">
        <v>51</v>
      </c>
      <c r="L238">
        <v>2</v>
      </c>
      <c r="M238">
        <v>1</v>
      </c>
      <c r="N238" t="s">
        <v>44</v>
      </c>
      <c r="O238" t="s">
        <v>44</v>
      </c>
      <c r="P238" t="s">
        <v>43</v>
      </c>
      <c r="Q238" t="s">
        <v>43</v>
      </c>
      <c r="R238" t="s">
        <v>43</v>
      </c>
      <c r="S238" t="s">
        <v>43</v>
      </c>
      <c r="T238">
        <v>4</v>
      </c>
      <c r="U238">
        <v>2</v>
      </c>
      <c r="V238">
        <v>5</v>
      </c>
      <c r="W238">
        <v>5</v>
      </c>
      <c r="X238">
        <v>4</v>
      </c>
      <c r="Y238">
        <v>0</v>
      </c>
      <c r="Z238">
        <v>4</v>
      </c>
      <c r="AA238">
        <v>14</v>
      </c>
      <c r="AB238">
        <v>13</v>
      </c>
      <c r="AC238">
        <v>13</v>
      </c>
      <c r="AD238" t="s">
        <v>46</v>
      </c>
      <c r="AE238" t="s">
        <v>56</v>
      </c>
      <c r="AF238" t="s">
        <v>52</v>
      </c>
      <c r="AG238" t="s">
        <v>47</v>
      </c>
      <c r="AH238">
        <v>-1</v>
      </c>
      <c r="AI238" t="s">
        <v>60</v>
      </c>
    </row>
    <row r="239" spans="1:35" x14ac:dyDescent="0.25">
      <c r="A239" t="s">
        <v>35</v>
      </c>
      <c r="B239" t="s">
        <v>36</v>
      </c>
      <c r="C239">
        <v>16</v>
      </c>
      <c r="D239" t="s">
        <v>37</v>
      </c>
      <c r="E239" t="s">
        <v>38</v>
      </c>
      <c r="F239" t="s">
        <v>49</v>
      </c>
      <c r="G239" t="s">
        <v>40</v>
      </c>
      <c r="H239">
        <v>2</v>
      </c>
      <c r="I239">
        <v>1</v>
      </c>
      <c r="J239" t="s">
        <v>51</v>
      </c>
      <c r="K239" t="s">
        <v>51</v>
      </c>
      <c r="L239">
        <v>1</v>
      </c>
      <c r="M239">
        <v>1</v>
      </c>
      <c r="N239" t="s">
        <v>44</v>
      </c>
      <c r="O239" t="s">
        <v>44</v>
      </c>
      <c r="P239" t="s">
        <v>44</v>
      </c>
      <c r="Q239" t="s">
        <v>44</v>
      </c>
      <c r="R239" t="s">
        <v>43</v>
      </c>
      <c r="S239" t="s">
        <v>43</v>
      </c>
      <c r="T239">
        <v>5</v>
      </c>
      <c r="U239">
        <v>2</v>
      </c>
      <c r="V239">
        <v>1</v>
      </c>
      <c r="W239">
        <v>1</v>
      </c>
      <c r="X239">
        <v>5</v>
      </c>
      <c r="Y239">
        <v>0</v>
      </c>
      <c r="Z239">
        <v>20</v>
      </c>
      <c r="AA239">
        <v>13</v>
      </c>
      <c r="AB239">
        <v>12</v>
      </c>
      <c r="AC239">
        <v>12</v>
      </c>
      <c r="AD239" t="s">
        <v>46</v>
      </c>
      <c r="AE239" t="s">
        <v>45</v>
      </c>
      <c r="AF239" t="s">
        <v>62</v>
      </c>
      <c r="AG239" t="s">
        <v>61</v>
      </c>
      <c r="AH239">
        <v>-1</v>
      </c>
      <c r="AI239" t="s">
        <v>60</v>
      </c>
    </row>
    <row r="240" spans="1:35" x14ac:dyDescent="0.25">
      <c r="A240" t="s">
        <v>35</v>
      </c>
      <c r="B240" t="s">
        <v>36</v>
      </c>
      <c r="C240">
        <v>17</v>
      </c>
      <c r="D240" t="s">
        <v>63</v>
      </c>
      <c r="E240" t="s">
        <v>38</v>
      </c>
      <c r="F240" t="s">
        <v>49</v>
      </c>
      <c r="G240" t="s">
        <v>40</v>
      </c>
      <c r="H240">
        <v>2</v>
      </c>
      <c r="I240">
        <v>1</v>
      </c>
      <c r="J240" t="s">
        <v>41</v>
      </c>
      <c r="K240" t="s">
        <v>54</v>
      </c>
      <c r="L240">
        <v>2</v>
      </c>
      <c r="M240">
        <v>3</v>
      </c>
      <c r="N240" t="s">
        <v>44</v>
      </c>
      <c r="O240" t="s">
        <v>44</v>
      </c>
      <c r="P240" t="s">
        <v>44</v>
      </c>
      <c r="Q240" t="s">
        <v>43</v>
      </c>
      <c r="R240" t="s">
        <v>44</v>
      </c>
      <c r="S240" t="s">
        <v>44</v>
      </c>
      <c r="T240">
        <v>1</v>
      </c>
      <c r="U240">
        <v>1</v>
      </c>
      <c r="V240">
        <v>1</v>
      </c>
      <c r="W240">
        <v>1</v>
      </c>
      <c r="X240">
        <v>3</v>
      </c>
      <c r="Y240">
        <v>0</v>
      </c>
      <c r="Z240">
        <v>2</v>
      </c>
      <c r="AA240">
        <v>13</v>
      </c>
      <c r="AB240">
        <v>11</v>
      </c>
      <c r="AC240">
        <v>11</v>
      </c>
      <c r="AD240" t="s">
        <v>46</v>
      </c>
      <c r="AE240" t="s">
        <v>56</v>
      </c>
      <c r="AF240" t="s">
        <v>52</v>
      </c>
      <c r="AG240" t="s">
        <v>47</v>
      </c>
      <c r="AH240">
        <v>-2</v>
      </c>
      <c r="AI240" t="s">
        <v>60</v>
      </c>
    </row>
    <row r="241" spans="1:35" x14ac:dyDescent="0.25">
      <c r="A241" t="s">
        <v>35</v>
      </c>
      <c r="B241" t="s">
        <v>59</v>
      </c>
      <c r="C241">
        <v>18</v>
      </c>
      <c r="D241" t="s">
        <v>37</v>
      </c>
      <c r="E241" t="s">
        <v>38</v>
      </c>
      <c r="F241" t="s">
        <v>49</v>
      </c>
      <c r="G241" t="s">
        <v>50</v>
      </c>
      <c r="H241">
        <v>2</v>
      </c>
      <c r="I241">
        <v>2</v>
      </c>
      <c r="J241" t="s">
        <v>51</v>
      </c>
      <c r="K241" t="s">
        <v>54</v>
      </c>
      <c r="L241">
        <v>2</v>
      </c>
      <c r="M241">
        <v>1</v>
      </c>
      <c r="N241" t="s">
        <v>44</v>
      </c>
      <c r="O241" t="s">
        <v>44</v>
      </c>
      <c r="P241" t="s">
        <v>44</v>
      </c>
      <c r="Q241" t="s">
        <v>44</v>
      </c>
      <c r="R241" t="s">
        <v>43</v>
      </c>
      <c r="S241" t="s">
        <v>44</v>
      </c>
      <c r="T241">
        <v>5</v>
      </c>
      <c r="U241">
        <v>4</v>
      </c>
      <c r="V241">
        <v>3</v>
      </c>
      <c r="W241">
        <v>5</v>
      </c>
      <c r="X241">
        <v>2</v>
      </c>
      <c r="Y241">
        <v>1</v>
      </c>
      <c r="Z241">
        <v>0</v>
      </c>
      <c r="AA241">
        <v>7</v>
      </c>
      <c r="AB241">
        <v>7</v>
      </c>
      <c r="AC241">
        <v>0</v>
      </c>
      <c r="AD241" t="s">
        <v>45</v>
      </c>
      <c r="AE241" t="s">
        <v>45</v>
      </c>
      <c r="AF241" t="s">
        <v>52</v>
      </c>
      <c r="AG241" t="s">
        <v>47</v>
      </c>
      <c r="AH241">
        <v>-7</v>
      </c>
      <c r="AI241" t="s">
        <v>60</v>
      </c>
    </row>
    <row r="242" spans="1:35" x14ac:dyDescent="0.25">
      <c r="A242" t="s">
        <v>35</v>
      </c>
      <c r="B242" t="s">
        <v>59</v>
      </c>
      <c r="C242">
        <v>17</v>
      </c>
      <c r="D242" t="s">
        <v>37</v>
      </c>
      <c r="E242" t="s">
        <v>53</v>
      </c>
      <c r="F242" t="s">
        <v>49</v>
      </c>
      <c r="G242" t="s">
        <v>40</v>
      </c>
      <c r="H242">
        <v>4</v>
      </c>
      <c r="I242">
        <v>3</v>
      </c>
      <c r="J242" t="s">
        <v>23</v>
      </c>
      <c r="K242" t="s">
        <v>51</v>
      </c>
      <c r="L242">
        <v>2</v>
      </c>
      <c r="M242">
        <v>2</v>
      </c>
      <c r="N242" t="s">
        <v>44</v>
      </c>
      <c r="O242" t="s">
        <v>44</v>
      </c>
      <c r="P242" t="s">
        <v>44</v>
      </c>
      <c r="Q242" t="s">
        <v>43</v>
      </c>
      <c r="R242" t="s">
        <v>43</v>
      </c>
      <c r="S242" t="s">
        <v>43</v>
      </c>
      <c r="T242">
        <v>5</v>
      </c>
      <c r="U242">
        <v>5</v>
      </c>
      <c r="V242">
        <v>1</v>
      </c>
      <c r="W242">
        <v>4</v>
      </c>
      <c r="X242">
        <v>5</v>
      </c>
      <c r="Y242">
        <v>0</v>
      </c>
      <c r="Z242">
        <v>14</v>
      </c>
      <c r="AA242">
        <v>12</v>
      </c>
      <c r="AB242">
        <v>12</v>
      </c>
      <c r="AC242">
        <v>12</v>
      </c>
      <c r="AD242" t="s">
        <v>46</v>
      </c>
      <c r="AE242" t="s">
        <v>45</v>
      </c>
      <c r="AF242" t="s">
        <v>46</v>
      </c>
      <c r="AG242" t="s">
        <v>47</v>
      </c>
      <c r="AH242">
        <v>0</v>
      </c>
      <c r="AI242" t="s">
        <v>58</v>
      </c>
    </row>
    <row r="243" spans="1:35" x14ac:dyDescent="0.25">
      <c r="A243" t="s">
        <v>35</v>
      </c>
      <c r="B243" t="s">
        <v>59</v>
      </c>
      <c r="C243">
        <v>17</v>
      </c>
      <c r="D243" t="s">
        <v>63</v>
      </c>
      <c r="E243" t="s">
        <v>53</v>
      </c>
      <c r="F243" t="s">
        <v>39</v>
      </c>
      <c r="G243" t="s">
        <v>40</v>
      </c>
      <c r="H243">
        <v>4</v>
      </c>
      <c r="I243">
        <v>4</v>
      </c>
      <c r="J243" t="s">
        <v>42</v>
      </c>
      <c r="K243" t="s">
        <v>51</v>
      </c>
      <c r="L243">
        <v>2</v>
      </c>
      <c r="M243">
        <v>2</v>
      </c>
      <c r="N243" t="s">
        <v>44</v>
      </c>
      <c r="O243" t="s">
        <v>43</v>
      </c>
      <c r="P243" t="s">
        <v>43</v>
      </c>
      <c r="Q243" t="s">
        <v>44</v>
      </c>
      <c r="R243" t="s">
        <v>43</v>
      </c>
      <c r="S243" t="s">
        <v>44</v>
      </c>
      <c r="T243">
        <v>3</v>
      </c>
      <c r="U243">
        <v>3</v>
      </c>
      <c r="V243">
        <v>2</v>
      </c>
      <c r="W243">
        <v>3</v>
      </c>
      <c r="X243">
        <v>4</v>
      </c>
      <c r="Y243">
        <v>0</v>
      </c>
      <c r="Z243">
        <v>2</v>
      </c>
      <c r="AA243">
        <v>10</v>
      </c>
      <c r="AB243">
        <v>11</v>
      </c>
      <c r="AC243">
        <v>12</v>
      </c>
      <c r="AD243" t="s">
        <v>46</v>
      </c>
      <c r="AE243" t="s">
        <v>56</v>
      </c>
      <c r="AF243" t="s">
        <v>52</v>
      </c>
      <c r="AG243" t="s">
        <v>47</v>
      </c>
      <c r="AH243">
        <v>2</v>
      </c>
      <c r="AI243" t="s">
        <v>48</v>
      </c>
    </row>
    <row r="244" spans="1:35" x14ac:dyDescent="0.25">
      <c r="A244" t="s">
        <v>35</v>
      </c>
      <c r="B244" t="s">
        <v>59</v>
      </c>
      <c r="C244">
        <v>16</v>
      </c>
      <c r="D244" t="s">
        <v>37</v>
      </c>
      <c r="E244" t="s">
        <v>53</v>
      </c>
      <c r="F244" t="s">
        <v>49</v>
      </c>
      <c r="G244" t="s">
        <v>40</v>
      </c>
      <c r="H244">
        <v>4</v>
      </c>
      <c r="I244">
        <v>3</v>
      </c>
      <c r="J244" t="s">
        <v>42</v>
      </c>
      <c r="K244" t="s">
        <v>51</v>
      </c>
      <c r="L244">
        <v>1</v>
      </c>
      <c r="M244">
        <v>1</v>
      </c>
      <c r="N244" t="s">
        <v>44</v>
      </c>
      <c r="O244" t="s">
        <v>44</v>
      </c>
      <c r="P244" t="s">
        <v>44</v>
      </c>
      <c r="Q244" t="s">
        <v>43</v>
      </c>
      <c r="R244" t="s">
        <v>43</v>
      </c>
      <c r="S244" t="s">
        <v>44</v>
      </c>
      <c r="T244">
        <v>4</v>
      </c>
      <c r="U244">
        <v>5</v>
      </c>
      <c r="V244">
        <v>1</v>
      </c>
      <c r="W244">
        <v>1</v>
      </c>
      <c r="X244">
        <v>3</v>
      </c>
      <c r="Y244">
        <v>0</v>
      </c>
      <c r="Z244">
        <v>0</v>
      </c>
      <c r="AA244">
        <v>6</v>
      </c>
      <c r="AB244">
        <v>0</v>
      </c>
      <c r="AC244">
        <v>0</v>
      </c>
      <c r="AD244" t="s">
        <v>45</v>
      </c>
      <c r="AE244" t="s">
        <v>45</v>
      </c>
      <c r="AF244" t="s">
        <v>52</v>
      </c>
      <c r="AG244" t="s">
        <v>61</v>
      </c>
      <c r="AH244">
        <v>-6</v>
      </c>
      <c r="AI244" t="s">
        <v>60</v>
      </c>
    </row>
    <row r="245" spans="1:35" x14ac:dyDescent="0.25">
      <c r="A245" t="s">
        <v>35</v>
      </c>
      <c r="B245" t="s">
        <v>59</v>
      </c>
      <c r="C245">
        <v>16</v>
      </c>
      <c r="D245" t="s">
        <v>37</v>
      </c>
      <c r="E245" t="s">
        <v>38</v>
      </c>
      <c r="F245" t="s">
        <v>49</v>
      </c>
      <c r="G245" t="s">
        <v>40</v>
      </c>
      <c r="H245">
        <v>4</v>
      </c>
      <c r="I245">
        <v>4</v>
      </c>
      <c r="J245" t="s">
        <v>54</v>
      </c>
      <c r="K245" t="s">
        <v>54</v>
      </c>
      <c r="L245">
        <v>1</v>
      </c>
      <c r="M245">
        <v>1</v>
      </c>
      <c r="N245" t="s">
        <v>44</v>
      </c>
      <c r="O245" t="s">
        <v>44</v>
      </c>
      <c r="P245" t="s">
        <v>44</v>
      </c>
      <c r="Q245" t="s">
        <v>43</v>
      </c>
      <c r="R245" t="s">
        <v>43</v>
      </c>
      <c r="S245" t="s">
        <v>44</v>
      </c>
      <c r="T245">
        <v>3</v>
      </c>
      <c r="U245">
        <v>2</v>
      </c>
      <c r="V245">
        <v>1</v>
      </c>
      <c r="W245">
        <v>2</v>
      </c>
      <c r="X245">
        <v>5</v>
      </c>
      <c r="Y245">
        <v>0</v>
      </c>
      <c r="Z245">
        <v>0</v>
      </c>
      <c r="AA245">
        <v>13</v>
      </c>
      <c r="AB245">
        <v>12</v>
      </c>
      <c r="AC245">
        <v>12</v>
      </c>
      <c r="AD245" t="s">
        <v>46</v>
      </c>
      <c r="AE245" t="s">
        <v>56</v>
      </c>
      <c r="AF245" t="s">
        <v>52</v>
      </c>
      <c r="AG245" t="s">
        <v>61</v>
      </c>
      <c r="AH245">
        <v>-1</v>
      </c>
      <c r="AI245" t="s">
        <v>60</v>
      </c>
    </row>
    <row r="246" spans="1:35" x14ac:dyDescent="0.25">
      <c r="A246" t="s">
        <v>35</v>
      </c>
      <c r="B246" t="s">
        <v>36</v>
      </c>
      <c r="C246">
        <v>18</v>
      </c>
      <c r="D246" t="s">
        <v>37</v>
      </c>
      <c r="E246" t="s">
        <v>38</v>
      </c>
      <c r="F246" t="s">
        <v>49</v>
      </c>
      <c r="G246" t="s">
        <v>51</v>
      </c>
      <c r="H246">
        <v>2</v>
      </c>
      <c r="I246">
        <v>1</v>
      </c>
      <c r="J246" t="s">
        <v>51</v>
      </c>
      <c r="K246" t="s">
        <v>51</v>
      </c>
      <c r="L246">
        <v>3</v>
      </c>
      <c r="M246">
        <v>2</v>
      </c>
      <c r="N246" t="s">
        <v>44</v>
      </c>
      <c r="O246" t="s">
        <v>43</v>
      </c>
      <c r="P246" t="s">
        <v>43</v>
      </c>
      <c r="Q246" t="s">
        <v>44</v>
      </c>
      <c r="R246" t="s">
        <v>43</v>
      </c>
      <c r="S246" t="s">
        <v>43</v>
      </c>
      <c r="T246">
        <v>4</v>
      </c>
      <c r="U246">
        <v>4</v>
      </c>
      <c r="V246">
        <v>1</v>
      </c>
      <c r="W246">
        <v>1</v>
      </c>
      <c r="X246">
        <v>3</v>
      </c>
      <c r="Y246">
        <v>0</v>
      </c>
      <c r="Z246">
        <v>0</v>
      </c>
      <c r="AA246">
        <v>7</v>
      </c>
      <c r="AB246">
        <v>0</v>
      </c>
      <c r="AC246">
        <v>0</v>
      </c>
      <c r="AD246" t="s">
        <v>45</v>
      </c>
      <c r="AE246" t="s">
        <v>45</v>
      </c>
      <c r="AF246" t="s">
        <v>52</v>
      </c>
      <c r="AG246" t="s">
        <v>57</v>
      </c>
      <c r="AH246">
        <v>-7</v>
      </c>
      <c r="AI246" t="s">
        <v>60</v>
      </c>
    </row>
    <row r="247" spans="1:35" x14ac:dyDescent="0.25">
      <c r="A247" t="s">
        <v>35</v>
      </c>
      <c r="B247" t="s">
        <v>59</v>
      </c>
      <c r="C247">
        <v>16</v>
      </c>
      <c r="D247" t="s">
        <v>37</v>
      </c>
      <c r="E247" t="s">
        <v>38</v>
      </c>
      <c r="F247" t="s">
        <v>49</v>
      </c>
      <c r="G247" t="s">
        <v>40</v>
      </c>
      <c r="H247">
        <v>2</v>
      </c>
      <c r="I247">
        <v>1</v>
      </c>
      <c r="J247" t="s">
        <v>51</v>
      </c>
      <c r="K247" t="s">
        <v>51</v>
      </c>
      <c r="L247">
        <v>1</v>
      </c>
      <c r="M247">
        <v>3</v>
      </c>
      <c r="N247" t="s">
        <v>44</v>
      </c>
      <c r="O247" t="s">
        <v>44</v>
      </c>
      <c r="P247" t="s">
        <v>44</v>
      </c>
      <c r="Q247" t="s">
        <v>44</v>
      </c>
      <c r="R247" t="s">
        <v>43</v>
      </c>
      <c r="S247" t="s">
        <v>44</v>
      </c>
      <c r="T247">
        <v>3</v>
      </c>
      <c r="U247">
        <v>3</v>
      </c>
      <c r="V247">
        <v>1</v>
      </c>
      <c r="W247">
        <v>1</v>
      </c>
      <c r="X247">
        <v>4</v>
      </c>
      <c r="Y247">
        <v>0</v>
      </c>
      <c r="Z247">
        <v>6</v>
      </c>
      <c r="AA247">
        <v>18</v>
      </c>
      <c r="AB247">
        <v>18</v>
      </c>
      <c r="AC247">
        <v>18</v>
      </c>
      <c r="AD247" t="s">
        <v>55</v>
      </c>
      <c r="AE247" t="s">
        <v>56</v>
      </c>
      <c r="AF247" t="s">
        <v>46</v>
      </c>
      <c r="AG247" t="s">
        <v>61</v>
      </c>
      <c r="AH247">
        <v>0</v>
      </c>
      <c r="AI247" t="s">
        <v>58</v>
      </c>
    </row>
    <row r="248" spans="1:35" x14ac:dyDescent="0.25">
      <c r="A248" t="s">
        <v>35</v>
      </c>
      <c r="B248" t="s">
        <v>59</v>
      </c>
      <c r="C248">
        <v>17</v>
      </c>
      <c r="D248" t="s">
        <v>37</v>
      </c>
      <c r="E248" t="s">
        <v>38</v>
      </c>
      <c r="F248" t="s">
        <v>49</v>
      </c>
      <c r="G248" t="s">
        <v>50</v>
      </c>
      <c r="H248">
        <v>2</v>
      </c>
      <c r="I248">
        <v>3</v>
      </c>
      <c r="J248" t="s">
        <v>51</v>
      </c>
      <c r="K248" t="s">
        <v>51</v>
      </c>
      <c r="L248">
        <v>1</v>
      </c>
      <c r="M248">
        <v>2</v>
      </c>
      <c r="N248" t="s">
        <v>44</v>
      </c>
      <c r="O248" t="s">
        <v>44</v>
      </c>
      <c r="P248" t="s">
        <v>44</v>
      </c>
      <c r="Q248" t="s">
        <v>44</v>
      </c>
      <c r="R248" t="s">
        <v>43</v>
      </c>
      <c r="S248" t="s">
        <v>44</v>
      </c>
      <c r="T248">
        <v>2</v>
      </c>
      <c r="U248">
        <v>2</v>
      </c>
      <c r="V248">
        <v>1</v>
      </c>
      <c r="W248">
        <v>1</v>
      </c>
      <c r="X248">
        <v>2</v>
      </c>
      <c r="Y248">
        <v>0</v>
      </c>
      <c r="Z248">
        <v>4</v>
      </c>
      <c r="AA248">
        <v>12</v>
      </c>
      <c r="AB248">
        <v>12</v>
      </c>
      <c r="AC248">
        <v>13</v>
      </c>
      <c r="AD248" t="s">
        <v>46</v>
      </c>
      <c r="AE248" t="s">
        <v>56</v>
      </c>
      <c r="AF248" t="s">
        <v>52</v>
      </c>
      <c r="AG248" t="s">
        <v>61</v>
      </c>
      <c r="AH248">
        <v>1</v>
      </c>
      <c r="AI248" t="s">
        <v>48</v>
      </c>
    </row>
    <row r="249" spans="1:35" x14ac:dyDescent="0.25">
      <c r="A249" t="s">
        <v>35</v>
      </c>
      <c r="B249" t="s">
        <v>59</v>
      </c>
      <c r="C249">
        <v>22</v>
      </c>
      <c r="D249" t="s">
        <v>37</v>
      </c>
      <c r="E249" t="s">
        <v>38</v>
      </c>
      <c r="F249" t="s">
        <v>49</v>
      </c>
      <c r="G249" t="s">
        <v>40</v>
      </c>
      <c r="H249">
        <v>3</v>
      </c>
      <c r="I249">
        <v>1</v>
      </c>
      <c r="J249" t="s">
        <v>54</v>
      </c>
      <c r="K249" t="s">
        <v>54</v>
      </c>
      <c r="L249">
        <v>1</v>
      </c>
      <c r="M249">
        <v>1</v>
      </c>
      <c r="N249" t="s">
        <v>44</v>
      </c>
      <c r="O249" t="s">
        <v>44</v>
      </c>
      <c r="P249" t="s">
        <v>44</v>
      </c>
      <c r="Q249" t="s">
        <v>44</v>
      </c>
      <c r="R249" t="s">
        <v>43</v>
      </c>
      <c r="S249" t="s">
        <v>43</v>
      </c>
      <c r="T249">
        <v>4</v>
      </c>
      <c r="U249">
        <v>5</v>
      </c>
      <c r="V249">
        <v>5</v>
      </c>
      <c r="W249">
        <v>5</v>
      </c>
      <c r="X249">
        <v>1</v>
      </c>
      <c r="Y249">
        <v>3</v>
      </c>
      <c r="Z249">
        <v>16</v>
      </c>
      <c r="AA249">
        <v>6</v>
      </c>
      <c r="AB249">
        <v>8</v>
      </c>
      <c r="AC249">
        <v>8</v>
      </c>
      <c r="AD249" t="s">
        <v>45</v>
      </c>
      <c r="AE249" t="s">
        <v>45</v>
      </c>
      <c r="AF249" t="s">
        <v>62</v>
      </c>
      <c r="AG249" t="s">
        <v>61</v>
      </c>
      <c r="AH249">
        <v>2</v>
      </c>
      <c r="AI249" t="s">
        <v>48</v>
      </c>
    </row>
    <row r="250" spans="1:35" x14ac:dyDescent="0.25">
      <c r="A250" t="s">
        <v>35</v>
      </c>
      <c r="B250" t="s">
        <v>59</v>
      </c>
      <c r="C250">
        <v>18</v>
      </c>
      <c r="D250" t="s">
        <v>63</v>
      </c>
      <c r="E250" t="s">
        <v>53</v>
      </c>
      <c r="F250" t="s">
        <v>49</v>
      </c>
      <c r="G250" t="s">
        <v>40</v>
      </c>
      <c r="H250">
        <v>3</v>
      </c>
      <c r="I250">
        <v>3</v>
      </c>
      <c r="J250" t="s">
        <v>51</v>
      </c>
      <c r="K250" t="s">
        <v>54</v>
      </c>
      <c r="L250">
        <v>2</v>
      </c>
      <c r="M250">
        <v>1</v>
      </c>
      <c r="N250" t="s">
        <v>44</v>
      </c>
      <c r="O250" t="s">
        <v>43</v>
      </c>
      <c r="P250" t="s">
        <v>44</v>
      </c>
      <c r="Q250" t="s">
        <v>44</v>
      </c>
      <c r="R250" t="s">
        <v>43</v>
      </c>
      <c r="S250" t="s">
        <v>43</v>
      </c>
      <c r="T250">
        <v>3</v>
      </c>
      <c r="U250">
        <v>3</v>
      </c>
      <c r="V250">
        <v>1</v>
      </c>
      <c r="W250">
        <v>3</v>
      </c>
      <c r="X250">
        <v>5</v>
      </c>
      <c r="Y250">
        <v>1</v>
      </c>
      <c r="Z250">
        <v>8</v>
      </c>
      <c r="AA250">
        <v>3</v>
      </c>
      <c r="AB250">
        <v>5</v>
      </c>
      <c r="AC250">
        <v>5</v>
      </c>
      <c r="AD250" t="s">
        <v>45</v>
      </c>
      <c r="AE250" t="s">
        <v>45</v>
      </c>
      <c r="AF250" t="s">
        <v>46</v>
      </c>
      <c r="AG250" t="s">
        <v>47</v>
      </c>
      <c r="AH250">
        <v>2</v>
      </c>
      <c r="AI250" t="s">
        <v>48</v>
      </c>
    </row>
    <row r="251" spans="1:35" x14ac:dyDescent="0.25">
      <c r="A251" t="s">
        <v>35</v>
      </c>
      <c r="B251" t="s">
        <v>59</v>
      </c>
      <c r="C251">
        <v>16</v>
      </c>
      <c r="D251" t="s">
        <v>37</v>
      </c>
      <c r="E251" t="s">
        <v>38</v>
      </c>
      <c r="F251" t="s">
        <v>49</v>
      </c>
      <c r="G251" t="s">
        <v>40</v>
      </c>
      <c r="H251">
        <v>0</v>
      </c>
      <c r="I251">
        <v>2</v>
      </c>
      <c r="J251" t="s">
        <v>51</v>
      </c>
      <c r="K251" t="s">
        <v>51</v>
      </c>
      <c r="L251">
        <v>1</v>
      </c>
      <c r="M251">
        <v>1</v>
      </c>
      <c r="N251" t="s">
        <v>44</v>
      </c>
      <c r="O251" t="s">
        <v>44</v>
      </c>
      <c r="P251" t="s">
        <v>43</v>
      </c>
      <c r="Q251" t="s">
        <v>44</v>
      </c>
      <c r="R251" t="s">
        <v>43</v>
      </c>
      <c r="S251" t="s">
        <v>44</v>
      </c>
      <c r="T251">
        <v>3</v>
      </c>
      <c r="U251">
        <v>2</v>
      </c>
      <c r="V251">
        <v>2</v>
      </c>
      <c r="W251">
        <v>4</v>
      </c>
      <c r="X251">
        <v>5</v>
      </c>
      <c r="Y251">
        <v>0</v>
      </c>
      <c r="Z251">
        <v>0</v>
      </c>
      <c r="AA251">
        <v>13</v>
      </c>
      <c r="AB251">
        <v>15</v>
      </c>
      <c r="AC251">
        <v>15</v>
      </c>
      <c r="AD251" t="s">
        <v>55</v>
      </c>
      <c r="AE251" t="s">
        <v>56</v>
      </c>
      <c r="AF251" t="s">
        <v>52</v>
      </c>
      <c r="AG251" t="s">
        <v>61</v>
      </c>
      <c r="AH251">
        <v>2</v>
      </c>
      <c r="AI251" t="s">
        <v>48</v>
      </c>
    </row>
    <row r="252" spans="1:35" x14ac:dyDescent="0.25">
      <c r="A252" t="s">
        <v>35</v>
      </c>
      <c r="B252" t="s">
        <v>59</v>
      </c>
      <c r="C252">
        <v>18</v>
      </c>
      <c r="D252" t="s">
        <v>37</v>
      </c>
      <c r="E252" t="s">
        <v>38</v>
      </c>
      <c r="F252" t="s">
        <v>49</v>
      </c>
      <c r="G252" t="s">
        <v>40</v>
      </c>
      <c r="H252">
        <v>3</v>
      </c>
      <c r="I252">
        <v>2</v>
      </c>
      <c r="J252" t="s">
        <v>54</v>
      </c>
      <c r="K252" t="s">
        <v>51</v>
      </c>
      <c r="L252">
        <v>1</v>
      </c>
      <c r="M252">
        <v>2</v>
      </c>
      <c r="N252" t="s">
        <v>44</v>
      </c>
      <c r="O252" t="s">
        <v>44</v>
      </c>
      <c r="P252" t="s">
        <v>44</v>
      </c>
      <c r="Q252" t="s">
        <v>44</v>
      </c>
      <c r="R252" t="s">
        <v>43</v>
      </c>
      <c r="S252" t="s">
        <v>44</v>
      </c>
      <c r="T252">
        <v>4</v>
      </c>
      <c r="U252">
        <v>5</v>
      </c>
      <c r="V252">
        <v>2</v>
      </c>
      <c r="W252">
        <v>4</v>
      </c>
      <c r="X252">
        <v>5</v>
      </c>
      <c r="Y252">
        <v>1</v>
      </c>
      <c r="Z252">
        <v>0</v>
      </c>
      <c r="AA252">
        <v>6</v>
      </c>
      <c r="AB252">
        <v>8</v>
      </c>
      <c r="AC252">
        <v>8</v>
      </c>
      <c r="AD252" t="s">
        <v>45</v>
      </c>
      <c r="AE252" t="s">
        <v>45</v>
      </c>
      <c r="AF252" t="s">
        <v>52</v>
      </c>
      <c r="AG252" t="s">
        <v>61</v>
      </c>
      <c r="AH252">
        <v>2</v>
      </c>
      <c r="AI252" t="s">
        <v>48</v>
      </c>
    </row>
    <row r="253" spans="1:35" x14ac:dyDescent="0.25">
      <c r="A253" t="s">
        <v>35</v>
      </c>
      <c r="B253" t="s">
        <v>59</v>
      </c>
      <c r="C253">
        <v>16</v>
      </c>
      <c r="D253" t="s">
        <v>37</v>
      </c>
      <c r="E253" t="s">
        <v>38</v>
      </c>
      <c r="F253" t="s">
        <v>49</v>
      </c>
      <c r="G253" t="s">
        <v>51</v>
      </c>
      <c r="H253">
        <v>3</v>
      </c>
      <c r="I253">
        <v>3</v>
      </c>
      <c r="J253" t="s">
        <v>41</v>
      </c>
      <c r="K253" t="s">
        <v>51</v>
      </c>
      <c r="L253">
        <v>2</v>
      </c>
      <c r="M253">
        <v>3</v>
      </c>
      <c r="N253" t="s">
        <v>43</v>
      </c>
      <c r="O253" t="s">
        <v>43</v>
      </c>
      <c r="P253" t="s">
        <v>44</v>
      </c>
      <c r="Q253" t="s">
        <v>44</v>
      </c>
      <c r="R253" t="s">
        <v>43</v>
      </c>
      <c r="S253" t="s">
        <v>44</v>
      </c>
      <c r="T253">
        <v>3</v>
      </c>
      <c r="U253">
        <v>3</v>
      </c>
      <c r="V253">
        <v>1</v>
      </c>
      <c r="W253">
        <v>3</v>
      </c>
      <c r="X253">
        <v>2</v>
      </c>
      <c r="Y253">
        <v>0</v>
      </c>
      <c r="Z253">
        <v>6</v>
      </c>
      <c r="AA253">
        <v>7</v>
      </c>
      <c r="AB253">
        <v>10</v>
      </c>
      <c r="AC253">
        <v>10</v>
      </c>
      <c r="AD253" t="s">
        <v>46</v>
      </c>
      <c r="AE253" t="s">
        <v>56</v>
      </c>
      <c r="AF253" t="s">
        <v>46</v>
      </c>
      <c r="AG253" t="s">
        <v>47</v>
      </c>
      <c r="AH253">
        <v>3</v>
      </c>
      <c r="AI253" t="s">
        <v>48</v>
      </c>
    </row>
    <row r="254" spans="1:35" x14ac:dyDescent="0.25">
      <c r="A254" t="s">
        <v>35</v>
      </c>
      <c r="B254" t="s">
        <v>59</v>
      </c>
      <c r="C254">
        <v>18</v>
      </c>
      <c r="D254" t="s">
        <v>37</v>
      </c>
      <c r="E254" t="s">
        <v>38</v>
      </c>
      <c r="F254" t="s">
        <v>49</v>
      </c>
      <c r="G254" t="s">
        <v>40</v>
      </c>
      <c r="H254">
        <v>2</v>
      </c>
      <c r="I254">
        <v>1</v>
      </c>
      <c r="J254" t="s">
        <v>54</v>
      </c>
      <c r="K254" t="s">
        <v>54</v>
      </c>
      <c r="L254">
        <v>1</v>
      </c>
      <c r="M254">
        <v>1</v>
      </c>
      <c r="N254" t="s">
        <v>44</v>
      </c>
      <c r="O254" t="s">
        <v>44</v>
      </c>
      <c r="P254" t="s">
        <v>44</v>
      </c>
      <c r="Q254" t="s">
        <v>44</v>
      </c>
      <c r="R254" t="s">
        <v>43</v>
      </c>
      <c r="S254" t="s">
        <v>44</v>
      </c>
      <c r="T254">
        <v>2</v>
      </c>
      <c r="U254">
        <v>5</v>
      </c>
      <c r="V254">
        <v>2</v>
      </c>
      <c r="W254">
        <v>5</v>
      </c>
      <c r="X254">
        <v>5</v>
      </c>
      <c r="Y254">
        <v>1</v>
      </c>
      <c r="Z254">
        <v>4</v>
      </c>
      <c r="AA254">
        <v>6</v>
      </c>
      <c r="AB254">
        <v>9</v>
      </c>
      <c r="AC254">
        <v>8</v>
      </c>
      <c r="AD254" t="s">
        <v>45</v>
      </c>
      <c r="AE254" t="s">
        <v>45</v>
      </c>
      <c r="AF254" t="s">
        <v>52</v>
      </c>
      <c r="AG254" t="s">
        <v>61</v>
      </c>
      <c r="AH254">
        <v>2</v>
      </c>
      <c r="AI254" t="s">
        <v>48</v>
      </c>
    </row>
    <row r="255" spans="1:35" x14ac:dyDescent="0.25">
      <c r="A255" t="s">
        <v>35</v>
      </c>
      <c r="B255" t="s">
        <v>59</v>
      </c>
      <c r="C255">
        <v>16</v>
      </c>
      <c r="D255" t="s">
        <v>63</v>
      </c>
      <c r="E255" t="s">
        <v>38</v>
      </c>
      <c r="F255" t="s">
        <v>49</v>
      </c>
      <c r="G255" t="s">
        <v>40</v>
      </c>
      <c r="H255">
        <v>2</v>
      </c>
      <c r="I255">
        <v>1</v>
      </c>
      <c r="J255" t="s">
        <v>51</v>
      </c>
      <c r="K255" t="s">
        <v>51</v>
      </c>
      <c r="L255">
        <v>1</v>
      </c>
      <c r="M255">
        <v>2</v>
      </c>
      <c r="N255" t="s">
        <v>44</v>
      </c>
      <c r="O255" t="s">
        <v>44</v>
      </c>
      <c r="P255" t="s">
        <v>44</v>
      </c>
      <c r="Q255" t="s">
        <v>43</v>
      </c>
      <c r="R255" t="s">
        <v>44</v>
      </c>
      <c r="S255" t="s">
        <v>44</v>
      </c>
      <c r="T255">
        <v>3</v>
      </c>
      <c r="U255">
        <v>2</v>
      </c>
      <c r="V255">
        <v>1</v>
      </c>
      <c r="W255">
        <v>3</v>
      </c>
      <c r="X255">
        <v>3</v>
      </c>
      <c r="Y255">
        <v>0</v>
      </c>
      <c r="Z255">
        <v>0</v>
      </c>
      <c r="AA255">
        <v>8</v>
      </c>
      <c r="AB255">
        <v>9</v>
      </c>
      <c r="AC255">
        <v>8</v>
      </c>
      <c r="AD255" t="s">
        <v>45</v>
      </c>
      <c r="AE255" t="s">
        <v>45</v>
      </c>
      <c r="AF255" t="s">
        <v>52</v>
      </c>
      <c r="AG255" t="s">
        <v>61</v>
      </c>
      <c r="AH255">
        <v>0</v>
      </c>
      <c r="AI255" t="s">
        <v>58</v>
      </c>
    </row>
    <row r="256" spans="1:35" x14ac:dyDescent="0.25">
      <c r="A256" t="s">
        <v>35</v>
      </c>
      <c r="B256" t="s">
        <v>59</v>
      </c>
      <c r="C256">
        <v>17</v>
      </c>
      <c r="D256" t="s">
        <v>63</v>
      </c>
      <c r="E256" t="s">
        <v>38</v>
      </c>
      <c r="F256" t="s">
        <v>49</v>
      </c>
      <c r="G256" t="s">
        <v>40</v>
      </c>
      <c r="H256">
        <v>2</v>
      </c>
      <c r="I256">
        <v>1</v>
      </c>
      <c r="J256" t="s">
        <v>51</v>
      </c>
      <c r="K256" t="s">
        <v>51</v>
      </c>
      <c r="L256">
        <v>1</v>
      </c>
      <c r="M256">
        <v>1</v>
      </c>
      <c r="N256" t="s">
        <v>44</v>
      </c>
      <c r="O256" t="s">
        <v>44</v>
      </c>
      <c r="P256" t="s">
        <v>44</v>
      </c>
      <c r="Q256" t="s">
        <v>44</v>
      </c>
      <c r="R256" t="s">
        <v>43</v>
      </c>
      <c r="S256" t="s">
        <v>44</v>
      </c>
      <c r="T256">
        <v>4</v>
      </c>
      <c r="U256">
        <v>2</v>
      </c>
      <c r="V256">
        <v>2</v>
      </c>
      <c r="W256">
        <v>4</v>
      </c>
      <c r="X256">
        <v>5</v>
      </c>
      <c r="Y256">
        <v>0</v>
      </c>
      <c r="Z256">
        <v>0</v>
      </c>
      <c r="AA256">
        <v>8</v>
      </c>
      <c r="AB256">
        <v>12</v>
      </c>
      <c r="AC256">
        <v>12</v>
      </c>
      <c r="AD256" t="s">
        <v>46</v>
      </c>
      <c r="AE256" t="s">
        <v>56</v>
      </c>
      <c r="AF256" t="s">
        <v>52</v>
      </c>
      <c r="AG256" t="s">
        <v>61</v>
      </c>
      <c r="AH256">
        <v>4</v>
      </c>
      <c r="AI256" t="s">
        <v>48</v>
      </c>
    </row>
    <row r="257" spans="1:35" x14ac:dyDescent="0.25">
      <c r="A257" t="s">
        <v>35</v>
      </c>
      <c r="B257" t="s">
        <v>59</v>
      </c>
      <c r="C257">
        <v>17</v>
      </c>
      <c r="D257" t="s">
        <v>37</v>
      </c>
      <c r="E257" t="s">
        <v>53</v>
      </c>
      <c r="F257" t="s">
        <v>49</v>
      </c>
      <c r="G257" t="s">
        <v>40</v>
      </c>
      <c r="H257">
        <v>1</v>
      </c>
      <c r="I257">
        <v>1</v>
      </c>
      <c r="J257" t="s">
        <v>23</v>
      </c>
      <c r="K257" t="s">
        <v>51</v>
      </c>
      <c r="L257">
        <v>1</v>
      </c>
      <c r="M257">
        <v>2</v>
      </c>
      <c r="N257" t="s">
        <v>44</v>
      </c>
      <c r="O257" t="s">
        <v>43</v>
      </c>
      <c r="P257" t="s">
        <v>44</v>
      </c>
      <c r="Q257" t="s">
        <v>43</v>
      </c>
      <c r="R257" t="s">
        <v>43</v>
      </c>
      <c r="S257" t="s">
        <v>44</v>
      </c>
      <c r="T257">
        <v>4</v>
      </c>
      <c r="U257">
        <v>4</v>
      </c>
      <c r="V257">
        <v>1</v>
      </c>
      <c r="W257">
        <v>2</v>
      </c>
      <c r="X257">
        <v>5</v>
      </c>
      <c r="Y257">
        <v>1</v>
      </c>
      <c r="Z257">
        <v>2</v>
      </c>
      <c r="AA257">
        <v>7</v>
      </c>
      <c r="AB257">
        <v>9</v>
      </c>
      <c r="AC257">
        <v>8</v>
      </c>
      <c r="AD257" t="s">
        <v>45</v>
      </c>
      <c r="AE257" t="s">
        <v>45</v>
      </c>
      <c r="AF257" t="s">
        <v>52</v>
      </c>
      <c r="AG257" t="s">
        <v>61</v>
      </c>
      <c r="AH257">
        <v>1</v>
      </c>
      <c r="AI257" t="s">
        <v>48</v>
      </c>
    </row>
    <row r="258" spans="1:35" x14ac:dyDescent="0.25">
      <c r="A258" t="s">
        <v>35</v>
      </c>
      <c r="B258" t="s">
        <v>36</v>
      </c>
      <c r="C258">
        <v>17</v>
      </c>
      <c r="D258" t="s">
        <v>37</v>
      </c>
      <c r="E258" t="s">
        <v>53</v>
      </c>
      <c r="F258" t="s">
        <v>49</v>
      </c>
      <c r="G258" t="s">
        <v>40</v>
      </c>
      <c r="H258">
        <v>4</v>
      </c>
      <c r="I258">
        <v>2</v>
      </c>
      <c r="J258" t="s">
        <v>42</v>
      </c>
      <c r="K258" t="s">
        <v>54</v>
      </c>
      <c r="L258">
        <v>4</v>
      </c>
      <c r="M258">
        <v>1</v>
      </c>
      <c r="N258" t="s">
        <v>44</v>
      </c>
      <c r="O258" t="s">
        <v>43</v>
      </c>
      <c r="P258" t="s">
        <v>43</v>
      </c>
      <c r="Q258" t="s">
        <v>43</v>
      </c>
      <c r="R258" t="s">
        <v>43</v>
      </c>
      <c r="S258" t="s">
        <v>44</v>
      </c>
      <c r="T258">
        <v>2</v>
      </c>
      <c r="U258">
        <v>3</v>
      </c>
      <c r="V258">
        <v>1</v>
      </c>
      <c r="W258">
        <v>1</v>
      </c>
      <c r="X258">
        <v>4</v>
      </c>
      <c r="Y258">
        <v>0</v>
      </c>
      <c r="Z258">
        <v>6</v>
      </c>
      <c r="AA258">
        <v>14</v>
      </c>
      <c r="AB258">
        <v>12</v>
      </c>
      <c r="AC258">
        <v>13</v>
      </c>
      <c r="AD258" t="s">
        <v>46</v>
      </c>
      <c r="AE258" t="s">
        <v>56</v>
      </c>
      <c r="AF258" t="s">
        <v>46</v>
      </c>
      <c r="AG258" t="s">
        <v>64</v>
      </c>
      <c r="AH258">
        <v>-1</v>
      </c>
      <c r="AI258" t="s">
        <v>60</v>
      </c>
    </row>
    <row r="259" spans="1:35" x14ac:dyDescent="0.25">
      <c r="A259" t="s">
        <v>35</v>
      </c>
      <c r="B259" t="s">
        <v>59</v>
      </c>
      <c r="C259">
        <v>19</v>
      </c>
      <c r="D259" t="s">
        <v>37</v>
      </c>
      <c r="E259" t="s">
        <v>53</v>
      </c>
      <c r="F259" t="s">
        <v>39</v>
      </c>
      <c r="G259" t="s">
        <v>40</v>
      </c>
      <c r="H259">
        <v>4</v>
      </c>
      <c r="I259">
        <v>3</v>
      </c>
      <c r="J259" t="s">
        <v>54</v>
      </c>
      <c r="K259" t="s">
        <v>41</v>
      </c>
      <c r="L259">
        <v>2</v>
      </c>
      <c r="M259">
        <v>1</v>
      </c>
      <c r="N259" t="s">
        <v>44</v>
      </c>
      <c r="O259" t="s">
        <v>43</v>
      </c>
      <c r="P259" t="s">
        <v>44</v>
      </c>
      <c r="Q259" t="s">
        <v>44</v>
      </c>
      <c r="R259" t="s">
        <v>43</v>
      </c>
      <c r="S259" t="s">
        <v>44</v>
      </c>
      <c r="T259">
        <v>3</v>
      </c>
      <c r="U259">
        <v>1</v>
      </c>
      <c r="V259">
        <v>1</v>
      </c>
      <c r="W259">
        <v>1</v>
      </c>
      <c r="X259">
        <v>1</v>
      </c>
      <c r="Y259">
        <v>0</v>
      </c>
      <c r="Z259">
        <v>12</v>
      </c>
      <c r="AA259">
        <v>11</v>
      </c>
      <c r="AB259">
        <v>11</v>
      </c>
      <c r="AC259">
        <v>11</v>
      </c>
      <c r="AD259" t="s">
        <v>46</v>
      </c>
      <c r="AE259" t="s">
        <v>45</v>
      </c>
      <c r="AF259" t="s">
        <v>46</v>
      </c>
      <c r="AG259" t="s">
        <v>47</v>
      </c>
      <c r="AH259">
        <v>0</v>
      </c>
      <c r="AI259" t="s">
        <v>58</v>
      </c>
    </row>
    <row r="260" spans="1:35" x14ac:dyDescent="0.25">
      <c r="A260" t="s">
        <v>35</v>
      </c>
      <c r="B260" t="s">
        <v>59</v>
      </c>
      <c r="C260">
        <v>18</v>
      </c>
      <c r="D260" t="s">
        <v>37</v>
      </c>
      <c r="E260" t="s">
        <v>38</v>
      </c>
      <c r="F260" t="s">
        <v>49</v>
      </c>
      <c r="G260" t="s">
        <v>40</v>
      </c>
      <c r="H260">
        <v>2</v>
      </c>
      <c r="I260">
        <v>1</v>
      </c>
      <c r="J260" t="s">
        <v>51</v>
      </c>
      <c r="K260" t="s">
        <v>51</v>
      </c>
      <c r="L260">
        <v>2</v>
      </c>
      <c r="M260">
        <v>1</v>
      </c>
      <c r="N260" t="s">
        <v>44</v>
      </c>
      <c r="O260" t="s">
        <v>44</v>
      </c>
      <c r="P260" t="s">
        <v>44</v>
      </c>
      <c r="Q260" t="s">
        <v>43</v>
      </c>
      <c r="R260" t="s">
        <v>43</v>
      </c>
      <c r="S260" t="s">
        <v>44</v>
      </c>
      <c r="T260">
        <v>2</v>
      </c>
      <c r="U260">
        <v>4</v>
      </c>
      <c r="V260">
        <v>1</v>
      </c>
      <c r="W260">
        <v>2</v>
      </c>
      <c r="X260">
        <v>4</v>
      </c>
      <c r="Y260">
        <v>0</v>
      </c>
      <c r="Z260">
        <v>8</v>
      </c>
      <c r="AA260">
        <v>15</v>
      </c>
      <c r="AB260">
        <v>14</v>
      </c>
      <c r="AC260">
        <v>14</v>
      </c>
      <c r="AD260" t="s">
        <v>55</v>
      </c>
      <c r="AE260" t="s">
        <v>56</v>
      </c>
      <c r="AF260" t="s">
        <v>46</v>
      </c>
      <c r="AG260" t="s">
        <v>47</v>
      </c>
      <c r="AH260">
        <v>-1</v>
      </c>
      <c r="AI260" t="s">
        <v>60</v>
      </c>
    </row>
    <row r="261" spans="1:35" x14ac:dyDescent="0.25">
      <c r="A261" t="s">
        <v>35</v>
      </c>
      <c r="B261" t="s">
        <v>36</v>
      </c>
      <c r="C261">
        <v>17</v>
      </c>
      <c r="D261" t="s">
        <v>37</v>
      </c>
      <c r="E261" t="s">
        <v>53</v>
      </c>
      <c r="F261" t="s">
        <v>49</v>
      </c>
      <c r="G261" t="s">
        <v>50</v>
      </c>
      <c r="H261">
        <v>2</v>
      </c>
      <c r="I261">
        <v>2</v>
      </c>
      <c r="J261" t="s">
        <v>54</v>
      </c>
      <c r="K261" t="s">
        <v>54</v>
      </c>
      <c r="L261">
        <v>4</v>
      </c>
      <c r="M261">
        <v>1</v>
      </c>
      <c r="N261" t="s">
        <v>44</v>
      </c>
      <c r="O261" t="s">
        <v>44</v>
      </c>
      <c r="P261" t="s">
        <v>43</v>
      </c>
      <c r="Q261" t="s">
        <v>43</v>
      </c>
      <c r="R261" t="s">
        <v>43</v>
      </c>
      <c r="S261" t="s">
        <v>43</v>
      </c>
      <c r="T261">
        <v>4</v>
      </c>
      <c r="U261">
        <v>1</v>
      </c>
      <c r="V261">
        <v>1</v>
      </c>
      <c r="W261">
        <v>1</v>
      </c>
      <c r="X261">
        <v>2</v>
      </c>
      <c r="Y261">
        <v>0</v>
      </c>
      <c r="Z261">
        <v>0</v>
      </c>
      <c r="AA261">
        <v>10</v>
      </c>
      <c r="AB261">
        <v>9</v>
      </c>
      <c r="AC261">
        <v>0</v>
      </c>
      <c r="AD261" t="s">
        <v>45</v>
      </c>
      <c r="AE261" t="s">
        <v>45</v>
      </c>
      <c r="AF261" t="s">
        <v>52</v>
      </c>
      <c r="AG261" t="s">
        <v>64</v>
      </c>
      <c r="AH261">
        <v>-10</v>
      </c>
      <c r="AI261" t="s">
        <v>60</v>
      </c>
    </row>
    <row r="262" spans="1:35" x14ac:dyDescent="0.25">
      <c r="A262" t="s">
        <v>35</v>
      </c>
      <c r="B262" t="s">
        <v>36</v>
      </c>
      <c r="C262">
        <v>18</v>
      </c>
      <c r="D262" t="s">
        <v>37</v>
      </c>
      <c r="E262" t="s">
        <v>38</v>
      </c>
      <c r="F262" t="s">
        <v>49</v>
      </c>
      <c r="G262" t="s">
        <v>50</v>
      </c>
      <c r="H262">
        <v>4</v>
      </c>
      <c r="I262">
        <v>3</v>
      </c>
      <c r="J262" t="s">
        <v>54</v>
      </c>
      <c r="K262" t="s">
        <v>51</v>
      </c>
      <c r="L262">
        <v>2</v>
      </c>
      <c r="M262">
        <v>1</v>
      </c>
      <c r="N262" t="s">
        <v>44</v>
      </c>
      <c r="O262" t="s">
        <v>43</v>
      </c>
      <c r="P262" t="s">
        <v>43</v>
      </c>
      <c r="Q262" t="s">
        <v>44</v>
      </c>
      <c r="R262" t="s">
        <v>43</v>
      </c>
      <c r="S262" t="s">
        <v>43</v>
      </c>
      <c r="T262">
        <v>1</v>
      </c>
      <c r="U262">
        <v>2</v>
      </c>
      <c r="V262">
        <v>1</v>
      </c>
      <c r="W262">
        <v>3</v>
      </c>
      <c r="X262">
        <v>2</v>
      </c>
      <c r="Y262">
        <v>0</v>
      </c>
      <c r="Z262">
        <v>21</v>
      </c>
      <c r="AA262">
        <v>17</v>
      </c>
      <c r="AB262">
        <v>18</v>
      </c>
      <c r="AC262">
        <v>18</v>
      </c>
      <c r="AD262" t="s">
        <v>55</v>
      </c>
      <c r="AE262" t="s">
        <v>45</v>
      </c>
      <c r="AF262" t="s">
        <v>62</v>
      </c>
      <c r="AG262" t="s">
        <v>47</v>
      </c>
      <c r="AH262">
        <v>1</v>
      </c>
      <c r="AI262" t="s">
        <v>48</v>
      </c>
    </row>
    <row r="263" spans="1:35" x14ac:dyDescent="0.25">
      <c r="A263" t="s">
        <v>35</v>
      </c>
      <c r="B263" t="s">
        <v>59</v>
      </c>
      <c r="C263">
        <v>18</v>
      </c>
      <c r="D263" t="s">
        <v>37</v>
      </c>
      <c r="E263" t="s">
        <v>38</v>
      </c>
      <c r="F263" t="s">
        <v>49</v>
      </c>
      <c r="G263" t="s">
        <v>40</v>
      </c>
      <c r="H263">
        <v>4</v>
      </c>
      <c r="I263">
        <v>3</v>
      </c>
      <c r="J263" t="s">
        <v>42</v>
      </c>
      <c r="K263" t="s">
        <v>51</v>
      </c>
      <c r="L263">
        <v>2</v>
      </c>
      <c r="M263">
        <v>1</v>
      </c>
      <c r="N263" t="s">
        <v>44</v>
      </c>
      <c r="O263" t="s">
        <v>43</v>
      </c>
      <c r="P263" t="s">
        <v>43</v>
      </c>
      <c r="Q263" t="s">
        <v>44</v>
      </c>
      <c r="R263" t="s">
        <v>43</v>
      </c>
      <c r="S263" t="s">
        <v>44</v>
      </c>
      <c r="T263">
        <v>3</v>
      </c>
      <c r="U263">
        <v>2</v>
      </c>
      <c r="V263">
        <v>1</v>
      </c>
      <c r="W263">
        <v>1</v>
      </c>
      <c r="X263">
        <v>3</v>
      </c>
      <c r="Y263">
        <v>0</v>
      </c>
      <c r="Z263">
        <v>2</v>
      </c>
      <c r="AA263">
        <v>8</v>
      </c>
      <c r="AB263">
        <v>8</v>
      </c>
      <c r="AC263">
        <v>8</v>
      </c>
      <c r="AD263" t="s">
        <v>45</v>
      </c>
      <c r="AE263" t="s">
        <v>45</v>
      </c>
      <c r="AF263" t="s">
        <v>52</v>
      </c>
      <c r="AG263" t="s">
        <v>47</v>
      </c>
      <c r="AH263">
        <v>0</v>
      </c>
      <c r="AI263" t="s">
        <v>58</v>
      </c>
    </row>
    <row r="264" spans="1:35" x14ac:dyDescent="0.25">
      <c r="A264" t="s">
        <v>35</v>
      </c>
      <c r="B264" t="s">
        <v>59</v>
      </c>
      <c r="C264">
        <v>18</v>
      </c>
      <c r="D264" t="s">
        <v>63</v>
      </c>
      <c r="E264" t="s">
        <v>38</v>
      </c>
      <c r="F264" t="s">
        <v>49</v>
      </c>
      <c r="G264" t="s">
        <v>40</v>
      </c>
      <c r="H264">
        <v>3</v>
      </c>
      <c r="I264">
        <v>2</v>
      </c>
      <c r="J264" t="s">
        <v>51</v>
      </c>
      <c r="K264" t="s">
        <v>51</v>
      </c>
      <c r="L264">
        <v>3</v>
      </c>
      <c r="M264">
        <v>1</v>
      </c>
      <c r="N264" t="s">
        <v>44</v>
      </c>
      <c r="O264" t="s">
        <v>44</v>
      </c>
      <c r="P264" t="s">
        <v>44</v>
      </c>
      <c r="Q264" t="s">
        <v>43</v>
      </c>
      <c r="R264" t="s">
        <v>44</v>
      </c>
      <c r="S264" t="s">
        <v>44</v>
      </c>
      <c r="T264">
        <v>3</v>
      </c>
      <c r="U264">
        <v>2</v>
      </c>
      <c r="V264">
        <v>1</v>
      </c>
      <c r="W264">
        <v>1</v>
      </c>
      <c r="X264">
        <v>3</v>
      </c>
      <c r="Y264">
        <v>0</v>
      </c>
      <c r="Z264">
        <v>1</v>
      </c>
      <c r="AA264">
        <v>13</v>
      </c>
      <c r="AB264">
        <v>12</v>
      </c>
      <c r="AC264">
        <v>12</v>
      </c>
      <c r="AD264" t="s">
        <v>46</v>
      </c>
      <c r="AE264" t="s">
        <v>56</v>
      </c>
      <c r="AF264" t="s">
        <v>52</v>
      </c>
      <c r="AG264" t="s">
        <v>57</v>
      </c>
      <c r="AH264">
        <v>-1</v>
      </c>
      <c r="AI264" t="s">
        <v>60</v>
      </c>
    </row>
    <row r="265" spans="1:35" x14ac:dyDescent="0.25">
      <c r="A265" t="s">
        <v>35</v>
      </c>
      <c r="B265" t="s">
        <v>36</v>
      </c>
      <c r="C265">
        <v>17</v>
      </c>
      <c r="D265" t="s">
        <v>37</v>
      </c>
      <c r="E265" t="s">
        <v>38</v>
      </c>
      <c r="F265" t="s">
        <v>49</v>
      </c>
      <c r="G265" t="s">
        <v>40</v>
      </c>
      <c r="H265">
        <v>3</v>
      </c>
      <c r="I265">
        <v>3</v>
      </c>
      <c r="J265" t="s">
        <v>51</v>
      </c>
      <c r="K265" t="s">
        <v>51</v>
      </c>
      <c r="L265">
        <v>3</v>
      </c>
      <c r="M265">
        <v>1</v>
      </c>
      <c r="N265" t="s">
        <v>44</v>
      </c>
      <c r="O265" t="s">
        <v>44</v>
      </c>
      <c r="P265" t="s">
        <v>44</v>
      </c>
      <c r="Q265" t="s">
        <v>43</v>
      </c>
      <c r="R265" t="s">
        <v>44</v>
      </c>
      <c r="S265" t="s">
        <v>44</v>
      </c>
      <c r="T265">
        <v>2</v>
      </c>
      <c r="U265">
        <v>3</v>
      </c>
      <c r="V265">
        <v>1</v>
      </c>
      <c r="W265">
        <v>1</v>
      </c>
      <c r="X265">
        <v>4</v>
      </c>
      <c r="Y265">
        <v>0</v>
      </c>
      <c r="Z265">
        <v>4</v>
      </c>
      <c r="AA265">
        <v>10</v>
      </c>
      <c r="AB265">
        <v>9</v>
      </c>
      <c r="AC265">
        <v>9</v>
      </c>
      <c r="AD265" t="s">
        <v>45</v>
      </c>
      <c r="AE265" t="s">
        <v>45</v>
      </c>
      <c r="AF265" t="s">
        <v>52</v>
      </c>
      <c r="AG265" t="s">
        <v>57</v>
      </c>
      <c r="AH265">
        <v>-1</v>
      </c>
      <c r="AI265" t="s">
        <v>60</v>
      </c>
    </row>
    <row r="266" spans="1:35" x14ac:dyDescent="0.25">
      <c r="A266" t="s">
        <v>35</v>
      </c>
      <c r="B266" t="s">
        <v>36</v>
      </c>
      <c r="C266">
        <v>18</v>
      </c>
      <c r="D266" t="s">
        <v>37</v>
      </c>
      <c r="E266" t="s">
        <v>38</v>
      </c>
      <c r="F266" t="s">
        <v>49</v>
      </c>
      <c r="G266" t="s">
        <v>40</v>
      </c>
      <c r="H266">
        <v>2</v>
      </c>
      <c r="I266">
        <v>2</v>
      </c>
      <c r="J266" t="s">
        <v>41</v>
      </c>
      <c r="K266" t="s">
        <v>54</v>
      </c>
      <c r="L266">
        <v>3</v>
      </c>
      <c r="M266">
        <v>1</v>
      </c>
      <c r="N266" t="s">
        <v>44</v>
      </c>
      <c r="O266" t="s">
        <v>43</v>
      </c>
      <c r="P266" t="s">
        <v>43</v>
      </c>
      <c r="Q266" t="s">
        <v>43</v>
      </c>
      <c r="R266" t="s">
        <v>43</v>
      </c>
      <c r="S266" t="s">
        <v>43</v>
      </c>
      <c r="T266">
        <v>3</v>
      </c>
      <c r="U266">
        <v>3</v>
      </c>
      <c r="V266">
        <v>1</v>
      </c>
      <c r="W266">
        <v>1</v>
      </c>
      <c r="X266">
        <v>3</v>
      </c>
      <c r="Y266">
        <v>0</v>
      </c>
      <c r="Z266">
        <v>0</v>
      </c>
      <c r="AA266">
        <v>9</v>
      </c>
      <c r="AB266">
        <v>10</v>
      </c>
      <c r="AC266">
        <v>0</v>
      </c>
      <c r="AD266" t="s">
        <v>45</v>
      </c>
      <c r="AE266" t="s">
        <v>45</v>
      </c>
      <c r="AF266" t="s">
        <v>52</v>
      </c>
      <c r="AG266" t="s">
        <v>57</v>
      </c>
      <c r="AH266">
        <v>-9</v>
      </c>
      <c r="AI266" t="s">
        <v>60</v>
      </c>
    </row>
    <row r="267" spans="1:35" x14ac:dyDescent="0.25">
      <c r="A267" t="s">
        <v>35</v>
      </c>
      <c r="B267" t="s">
        <v>59</v>
      </c>
      <c r="C267">
        <v>18</v>
      </c>
      <c r="D267" t="s">
        <v>63</v>
      </c>
      <c r="E267" t="s">
        <v>53</v>
      </c>
      <c r="F267" t="s">
        <v>39</v>
      </c>
      <c r="G267" t="s">
        <v>40</v>
      </c>
      <c r="H267">
        <v>3</v>
      </c>
      <c r="I267">
        <v>4</v>
      </c>
      <c r="J267" t="s">
        <v>51</v>
      </c>
      <c r="K267" t="s">
        <v>51</v>
      </c>
      <c r="L267">
        <v>2</v>
      </c>
      <c r="M267">
        <v>2</v>
      </c>
      <c r="N267" t="s">
        <v>44</v>
      </c>
      <c r="O267" t="s">
        <v>43</v>
      </c>
      <c r="P267" t="s">
        <v>43</v>
      </c>
      <c r="Q267" t="s">
        <v>43</v>
      </c>
      <c r="R267" t="s">
        <v>43</v>
      </c>
      <c r="S267" t="s">
        <v>44</v>
      </c>
      <c r="T267">
        <v>2</v>
      </c>
      <c r="U267">
        <v>5</v>
      </c>
      <c r="V267">
        <v>3</v>
      </c>
      <c r="W267">
        <v>4</v>
      </c>
      <c r="X267">
        <v>1</v>
      </c>
      <c r="Y267">
        <v>0</v>
      </c>
      <c r="Z267">
        <v>13</v>
      </c>
      <c r="AA267">
        <v>17</v>
      </c>
      <c r="AB267">
        <v>17</v>
      </c>
      <c r="AC267">
        <v>17</v>
      </c>
      <c r="AD267" t="s">
        <v>55</v>
      </c>
      <c r="AE267" t="s">
        <v>45</v>
      </c>
      <c r="AF267" t="s">
        <v>46</v>
      </c>
      <c r="AG267" t="s">
        <v>47</v>
      </c>
      <c r="AH267">
        <v>0</v>
      </c>
      <c r="AI267" t="s">
        <v>58</v>
      </c>
    </row>
    <row r="268" spans="1:35" x14ac:dyDescent="0.25">
      <c r="A268" t="s">
        <v>35</v>
      </c>
      <c r="B268" t="s">
        <v>59</v>
      </c>
      <c r="C268">
        <v>17</v>
      </c>
      <c r="D268" t="s">
        <v>37</v>
      </c>
      <c r="E268" t="s">
        <v>38</v>
      </c>
      <c r="F268" t="s">
        <v>49</v>
      </c>
      <c r="G268" t="s">
        <v>40</v>
      </c>
      <c r="H268">
        <v>3</v>
      </c>
      <c r="I268">
        <v>1</v>
      </c>
      <c r="J268" t="s">
        <v>54</v>
      </c>
      <c r="K268" t="s">
        <v>51</v>
      </c>
      <c r="L268">
        <v>2</v>
      </c>
      <c r="M268">
        <v>1</v>
      </c>
      <c r="N268" t="s">
        <v>44</v>
      </c>
      <c r="O268" t="s">
        <v>44</v>
      </c>
      <c r="P268" t="s">
        <v>43</v>
      </c>
      <c r="Q268" t="s">
        <v>43</v>
      </c>
      <c r="R268" t="s">
        <v>43</v>
      </c>
      <c r="S268" t="s">
        <v>43</v>
      </c>
      <c r="T268">
        <v>4</v>
      </c>
      <c r="U268">
        <v>4</v>
      </c>
      <c r="V268">
        <v>3</v>
      </c>
      <c r="W268">
        <v>4</v>
      </c>
      <c r="X268">
        <v>5</v>
      </c>
      <c r="Y268">
        <v>0</v>
      </c>
      <c r="Z268">
        <v>2</v>
      </c>
      <c r="AA268">
        <v>9</v>
      </c>
      <c r="AB268">
        <v>9</v>
      </c>
      <c r="AC268">
        <v>10</v>
      </c>
      <c r="AD268" t="s">
        <v>46</v>
      </c>
      <c r="AE268" t="s">
        <v>56</v>
      </c>
      <c r="AF268" t="s">
        <v>52</v>
      </c>
      <c r="AG268" t="s">
        <v>47</v>
      </c>
      <c r="AH268">
        <v>1</v>
      </c>
      <c r="AI268" t="s">
        <v>48</v>
      </c>
    </row>
    <row r="269" spans="1:35" x14ac:dyDescent="0.25">
      <c r="A269" t="s">
        <v>35</v>
      </c>
      <c r="B269" t="s">
        <v>36</v>
      </c>
      <c r="C269">
        <v>18</v>
      </c>
      <c r="D269" t="s">
        <v>63</v>
      </c>
      <c r="E269" t="s">
        <v>38</v>
      </c>
      <c r="F269" t="s">
        <v>49</v>
      </c>
      <c r="G269" t="s">
        <v>40</v>
      </c>
      <c r="H269">
        <v>4</v>
      </c>
      <c r="I269">
        <v>4</v>
      </c>
      <c r="J269" t="s">
        <v>42</v>
      </c>
      <c r="K269" t="s">
        <v>51</v>
      </c>
      <c r="L269">
        <v>2</v>
      </c>
      <c r="M269">
        <v>2</v>
      </c>
      <c r="N269" t="s">
        <v>44</v>
      </c>
      <c r="O269" t="s">
        <v>44</v>
      </c>
      <c r="P269" t="s">
        <v>43</v>
      </c>
      <c r="Q269" t="s">
        <v>43</v>
      </c>
      <c r="R269" t="s">
        <v>43</v>
      </c>
      <c r="S269" t="s">
        <v>44</v>
      </c>
      <c r="T269">
        <v>3</v>
      </c>
      <c r="U269">
        <v>4</v>
      </c>
      <c r="V269">
        <v>2</v>
      </c>
      <c r="W269">
        <v>2</v>
      </c>
      <c r="X269">
        <v>4</v>
      </c>
      <c r="Y269">
        <v>0</v>
      </c>
      <c r="Z269">
        <v>8</v>
      </c>
      <c r="AA269">
        <v>12</v>
      </c>
      <c r="AB269">
        <v>10</v>
      </c>
      <c r="AC269">
        <v>11</v>
      </c>
      <c r="AD269" t="s">
        <v>46</v>
      </c>
      <c r="AE269" t="s">
        <v>56</v>
      </c>
      <c r="AF269" t="s">
        <v>46</v>
      </c>
      <c r="AG269" t="s">
        <v>47</v>
      </c>
      <c r="AH269">
        <v>-1</v>
      </c>
      <c r="AI269" t="s">
        <v>60</v>
      </c>
    </row>
    <row r="270" spans="1:35" x14ac:dyDescent="0.25">
      <c r="A270" t="s">
        <v>35</v>
      </c>
      <c r="B270" t="s">
        <v>59</v>
      </c>
      <c r="C270">
        <v>18</v>
      </c>
      <c r="D270" t="s">
        <v>37</v>
      </c>
      <c r="E270" t="s">
        <v>38</v>
      </c>
      <c r="F270" t="s">
        <v>49</v>
      </c>
      <c r="G270" t="s">
        <v>50</v>
      </c>
      <c r="H270">
        <v>4</v>
      </c>
      <c r="I270">
        <v>2</v>
      </c>
      <c r="J270" t="s">
        <v>23</v>
      </c>
      <c r="K270" t="s">
        <v>51</v>
      </c>
      <c r="L270">
        <v>2</v>
      </c>
      <c r="M270">
        <v>1</v>
      </c>
      <c r="N270" t="s">
        <v>44</v>
      </c>
      <c r="O270" t="s">
        <v>43</v>
      </c>
      <c r="P270" t="s">
        <v>43</v>
      </c>
      <c r="Q270" t="s">
        <v>43</v>
      </c>
      <c r="R270" t="s">
        <v>43</v>
      </c>
      <c r="S270" t="s">
        <v>43</v>
      </c>
      <c r="T270">
        <v>4</v>
      </c>
      <c r="U270">
        <v>5</v>
      </c>
      <c r="V270">
        <v>1</v>
      </c>
      <c r="W270">
        <v>3</v>
      </c>
      <c r="X270">
        <v>5</v>
      </c>
      <c r="Y270">
        <v>0</v>
      </c>
      <c r="Z270">
        <v>10</v>
      </c>
      <c r="AA270">
        <v>10</v>
      </c>
      <c r="AB270">
        <v>9</v>
      </c>
      <c r="AC270">
        <v>10</v>
      </c>
      <c r="AD270" t="s">
        <v>46</v>
      </c>
      <c r="AE270" t="s">
        <v>56</v>
      </c>
      <c r="AF270" t="s">
        <v>46</v>
      </c>
      <c r="AG270" t="s">
        <v>47</v>
      </c>
      <c r="AH270">
        <v>0</v>
      </c>
      <c r="AI270" t="s">
        <v>58</v>
      </c>
    </row>
    <row r="271" spans="1:35" x14ac:dyDescent="0.25">
      <c r="A271" t="s">
        <v>35</v>
      </c>
      <c r="B271" t="s">
        <v>36</v>
      </c>
      <c r="C271">
        <v>18</v>
      </c>
      <c r="D271" t="s">
        <v>63</v>
      </c>
      <c r="E271" t="s">
        <v>38</v>
      </c>
      <c r="F271" t="s">
        <v>49</v>
      </c>
      <c r="G271" t="s">
        <v>40</v>
      </c>
      <c r="H271">
        <v>2</v>
      </c>
      <c r="I271">
        <v>1</v>
      </c>
      <c r="J271" t="s">
        <v>51</v>
      </c>
      <c r="K271" t="s">
        <v>51</v>
      </c>
      <c r="L271">
        <v>2</v>
      </c>
      <c r="M271">
        <v>2</v>
      </c>
      <c r="N271" t="s">
        <v>44</v>
      </c>
      <c r="O271" t="s">
        <v>43</v>
      </c>
      <c r="P271" t="s">
        <v>44</v>
      </c>
      <c r="Q271" t="s">
        <v>44</v>
      </c>
      <c r="R271" t="s">
        <v>43</v>
      </c>
      <c r="S271" t="s">
        <v>43</v>
      </c>
      <c r="T271">
        <v>3</v>
      </c>
      <c r="U271">
        <v>5</v>
      </c>
      <c r="V271">
        <v>1</v>
      </c>
      <c r="W271">
        <v>2</v>
      </c>
      <c r="X271">
        <v>3</v>
      </c>
      <c r="Y271">
        <v>0</v>
      </c>
      <c r="Z271">
        <v>0</v>
      </c>
      <c r="AA271">
        <v>6</v>
      </c>
      <c r="AB271">
        <v>0</v>
      </c>
      <c r="AC271">
        <v>0</v>
      </c>
      <c r="AD271" t="s">
        <v>45</v>
      </c>
      <c r="AE271" t="s">
        <v>45</v>
      </c>
      <c r="AF271" t="s">
        <v>52</v>
      </c>
      <c r="AG271" t="s">
        <v>47</v>
      </c>
      <c r="AH271">
        <v>-6</v>
      </c>
      <c r="AI271" t="s">
        <v>60</v>
      </c>
    </row>
    <row r="272" spans="1:35" x14ac:dyDescent="0.25">
      <c r="A272" t="s">
        <v>35</v>
      </c>
      <c r="B272" t="s">
        <v>36</v>
      </c>
      <c r="C272">
        <v>19</v>
      </c>
      <c r="D272" t="s">
        <v>37</v>
      </c>
      <c r="E272" t="s">
        <v>38</v>
      </c>
      <c r="F272" t="s">
        <v>49</v>
      </c>
      <c r="G272" t="s">
        <v>51</v>
      </c>
      <c r="H272">
        <v>3</v>
      </c>
      <c r="I272">
        <v>3</v>
      </c>
      <c r="J272" t="s">
        <v>51</v>
      </c>
      <c r="K272" t="s">
        <v>54</v>
      </c>
      <c r="L272">
        <v>2</v>
      </c>
      <c r="M272">
        <v>1</v>
      </c>
      <c r="N272" t="s">
        <v>44</v>
      </c>
      <c r="O272" t="s">
        <v>43</v>
      </c>
      <c r="P272" t="s">
        <v>43</v>
      </c>
      <c r="Q272" t="s">
        <v>43</v>
      </c>
      <c r="R272" t="s">
        <v>43</v>
      </c>
      <c r="S272" t="s">
        <v>44</v>
      </c>
      <c r="T272">
        <v>3</v>
      </c>
      <c r="U272">
        <v>5</v>
      </c>
      <c r="V272">
        <v>3</v>
      </c>
      <c r="W272">
        <v>3</v>
      </c>
      <c r="X272">
        <v>5</v>
      </c>
      <c r="Y272">
        <v>2</v>
      </c>
      <c r="Z272">
        <v>15</v>
      </c>
      <c r="AA272">
        <v>9</v>
      </c>
      <c r="AB272">
        <v>9</v>
      </c>
      <c r="AC272">
        <v>9</v>
      </c>
      <c r="AD272" t="s">
        <v>45</v>
      </c>
      <c r="AE272" t="s">
        <v>45</v>
      </c>
      <c r="AF272" t="s">
        <v>46</v>
      </c>
      <c r="AG272" t="s">
        <v>47</v>
      </c>
      <c r="AH272">
        <v>0</v>
      </c>
      <c r="AI272" t="s">
        <v>58</v>
      </c>
    </row>
    <row r="273" spans="1:35" x14ac:dyDescent="0.25">
      <c r="A273" t="s">
        <v>35</v>
      </c>
      <c r="B273" t="s">
        <v>36</v>
      </c>
      <c r="C273">
        <v>18</v>
      </c>
      <c r="D273" t="s">
        <v>37</v>
      </c>
      <c r="E273" t="s">
        <v>38</v>
      </c>
      <c r="F273" t="s">
        <v>49</v>
      </c>
      <c r="G273" t="s">
        <v>50</v>
      </c>
      <c r="H273">
        <v>2</v>
      </c>
      <c r="I273">
        <v>3</v>
      </c>
      <c r="J273" t="s">
        <v>51</v>
      </c>
      <c r="K273" t="s">
        <v>54</v>
      </c>
      <c r="L273">
        <v>4</v>
      </c>
      <c r="M273">
        <v>1</v>
      </c>
      <c r="N273" t="s">
        <v>44</v>
      </c>
      <c r="O273" t="s">
        <v>43</v>
      </c>
      <c r="P273" t="s">
        <v>43</v>
      </c>
      <c r="Q273" t="s">
        <v>43</v>
      </c>
      <c r="R273" t="s">
        <v>43</v>
      </c>
      <c r="S273" t="s">
        <v>43</v>
      </c>
      <c r="T273">
        <v>5</v>
      </c>
      <c r="U273">
        <v>5</v>
      </c>
      <c r="V273">
        <v>1</v>
      </c>
      <c r="W273">
        <v>3</v>
      </c>
      <c r="X273">
        <v>2</v>
      </c>
      <c r="Y273">
        <v>0</v>
      </c>
      <c r="Z273">
        <v>4</v>
      </c>
      <c r="AA273">
        <v>15</v>
      </c>
      <c r="AB273">
        <v>14</v>
      </c>
      <c r="AC273">
        <v>14</v>
      </c>
      <c r="AD273" t="s">
        <v>55</v>
      </c>
      <c r="AE273" t="s">
        <v>56</v>
      </c>
      <c r="AF273" t="s">
        <v>52</v>
      </c>
      <c r="AG273" t="s">
        <v>64</v>
      </c>
      <c r="AH273">
        <v>-1</v>
      </c>
      <c r="AI273" t="s">
        <v>60</v>
      </c>
    </row>
    <row r="274" spans="1:35" x14ac:dyDescent="0.25">
      <c r="A274" t="s">
        <v>35</v>
      </c>
      <c r="B274" t="s">
        <v>36</v>
      </c>
      <c r="C274">
        <v>18</v>
      </c>
      <c r="D274" t="s">
        <v>37</v>
      </c>
      <c r="E274" t="s">
        <v>53</v>
      </c>
      <c r="F274" t="s">
        <v>49</v>
      </c>
      <c r="G274" t="s">
        <v>40</v>
      </c>
      <c r="H274">
        <v>1</v>
      </c>
      <c r="I274">
        <v>1</v>
      </c>
      <c r="J274" t="s">
        <v>51</v>
      </c>
      <c r="K274" t="s">
        <v>51</v>
      </c>
      <c r="L274">
        <v>2</v>
      </c>
      <c r="M274">
        <v>2</v>
      </c>
      <c r="N274" t="s">
        <v>44</v>
      </c>
      <c r="O274" t="s">
        <v>43</v>
      </c>
      <c r="P274" t="s">
        <v>43</v>
      </c>
      <c r="Q274" t="s">
        <v>44</v>
      </c>
      <c r="R274" t="s">
        <v>44</v>
      </c>
      <c r="S274" t="s">
        <v>44</v>
      </c>
      <c r="T274">
        <v>4</v>
      </c>
      <c r="U274">
        <v>3</v>
      </c>
      <c r="V274">
        <v>1</v>
      </c>
      <c r="W274">
        <v>1</v>
      </c>
      <c r="X274">
        <v>3</v>
      </c>
      <c r="Y274">
        <v>0</v>
      </c>
      <c r="Z274">
        <v>2</v>
      </c>
      <c r="AA274">
        <v>11</v>
      </c>
      <c r="AB274">
        <v>11</v>
      </c>
      <c r="AC274">
        <v>11</v>
      </c>
      <c r="AD274" t="s">
        <v>46</v>
      </c>
      <c r="AE274" t="s">
        <v>56</v>
      </c>
      <c r="AF274" t="s">
        <v>52</v>
      </c>
      <c r="AG274" t="s">
        <v>47</v>
      </c>
      <c r="AH274">
        <v>0</v>
      </c>
      <c r="AI274" t="s">
        <v>58</v>
      </c>
    </row>
    <row r="275" spans="1:35" x14ac:dyDescent="0.25">
      <c r="A275" t="s">
        <v>35</v>
      </c>
      <c r="B275" t="s">
        <v>59</v>
      </c>
      <c r="C275">
        <v>17</v>
      </c>
      <c r="D275" t="s">
        <v>63</v>
      </c>
      <c r="E275" t="s">
        <v>38</v>
      </c>
      <c r="F275" t="s">
        <v>49</v>
      </c>
      <c r="G275" t="s">
        <v>40</v>
      </c>
      <c r="H275">
        <v>1</v>
      </c>
      <c r="I275">
        <v>2</v>
      </c>
      <c r="J275" t="s">
        <v>41</v>
      </c>
      <c r="K275" t="s">
        <v>41</v>
      </c>
      <c r="L275">
        <v>2</v>
      </c>
      <c r="M275">
        <v>1</v>
      </c>
      <c r="N275" t="s">
        <v>44</v>
      </c>
      <c r="O275" t="s">
        <v>43</v>
      </c>
      <c r="P275" t="s">
        <v>43</v>
      </c>
      <c r="Q275" t="s">
        <v>43</v>
      </c>
      <c r="R275" t="s">
        <v>44</v>
      </c>
      <c r="S275" t="s">
        <v>43</v>
      </c>
      <c r="T275">
        <v>5</v>
      </c>
      <c r="U275">
        <v>2</v>
      </c>
      <c r="V275">
        <v>2</v>
      </c>
      <c r="W275">
        <v>2</v>
      </c>
      <c r="X275">
        <v>1</v>
      </c>
      <c r="Y275">
        <v>0</v>
      </c>
      <c r="Z275">
        <v>2</v>
      </c>
      <c r="AA275">
        <v>15</v>
      </c>
      <c r="AB275">
        <v>14</v>
      </c>
      <c r="AC275">
        <v>14</v>
      </c>
      <c r="AD275" t="s">
        <v>55</v>
      </c>
      <c r="AE275" t="s">
        <v>56</v>
      </c>
      <c r="AF275" t="s">
        <v>52</v>
      </c>
      <c r="AG275" t="s">
        <v>47</v>
      </c>
      <c r="AH275">
        <v>-1</v>
      </c>
      <c r="AI275" t="s">
        <v>60</v>
      </c>
    </row>
    <row r="276" spans="1:35" x14ac:dyDescent="0.25">
      <c r="A276" t="s">
        <v>35</v>
      </c>
      <c r="B276" t="s">
        <v>36</v>
      </c>
      <c r="C276">
        <v>17</v>
      </c>
      <c r="D276" t="s">
        <v>37</v>
      </c>
      <c r="E276" t="s">
        <v>38</v>
      </c>
      <c r="F276" t="s">
        <v>49</v>
      </c>
      <c r="G276" t="s">
        <v>40</v>
      </c>
      <c r="H276">
        <v>2</v>
      </c>
      <c r="I276">
        <v>4</v>
      </c>
      <c r="J276" t="s">
        <v>41</v>
      </c>
      <c r="K276" t="s">
        <v>23</v>
      </c>
      <c r="L276">
        <v>2</v>
      </c>
      <c r="M276">
        <v>2</v>
      </c>
      <c r="N276" t="s">
        <v>44</v>
      </c>
      <c r="O276" t="s">
        <v>43</v>
      </c>
      <c r="P276" t="s">
        <v>43</v>
      </c>
      <c r="Q276" t="s">
        <v>44</v>
      </c>
      <c r="R276" t="s">
        <v>43</v>
      </c>
      <c r="S276" t="s">
        <v>43</v>
      </c>
      <c r="T276">
        <v>3</v>
      </c>
      <c r="U276">
        <v>3</v>
      </c>
      <c r="V276">
        <v>1</v>
      </c>
      <c r="W276">
        <v>1</v>
      </c>
      <c r="X276">
        <v>1</v>
      </c>
      <c r="Y276">
        <v>0</v>
      </c>
      <c r="Z276">
        <v>2</v>
      </c>
      <c r="AA276">
        <v>10</v>
      </c>
      <c r="AB276">
        <v>10</v>
      </c>
      <c r="AC276">
        <v>10</v>
      </c>
      <c r="AD276" t="s">
        <v>46</v>
      </c>
      <c r="AE276" t="s">
        <v>56</v>
      </c>
      <c r="AF276" t="s">
        <v>52</v>
      </c>
      <c r="AG276" t="s">
        <v>47</v>
      </c>
      <c r="AH276">
        <v>0</v>
      </c>
      <c r="AI276" t="s">
        <v>58</v>
      </c>
    </row>
    <row r="277" spans="1:35" x14ac:dyDescent="0.25">
      <c r="A277" t="s">
        <v>35</v>
      </c>
      <c r="B277" t="s">
        <v>36</v>
      </c>
      <c r="C277">
        <v>17</v>
      </c>
      <c r="D277" t="s">
        <v>37</v>
      </c>
      <c r="E277" t="s">
        <v>53</v>
      </c>
      <c r="F277" t="s">
        <v>49</v>
      </c>
      <c r="G277" t="s">
        <v>40</v>
      </c>
      <c r="H277">
        <v>2</v>
      </c>
      <c r="I277">
        <v>2</v>
      </c>
      <c r="J277" t="s">
        <v>54</v>
      </c>
      <c r="K277" t="s">
        <v>51</v>
      </c>
      <c r="L277">
        <v>2</v>
      </c>
      <c r="M277">
        <v>2</v>
      </c>
      <c r="N277" t="s">
        <v>43</v>
      </c>
      <c r="O277" t="s">
        <v>43</v>
      </c>
      <c r="P277" t="s">
        <v>43</v>
      </c>
      <c r="Q277" t="s">
        <v>44</v>
      </c>
      <c r="R277" t="s">
        <v>43</v>
      </c>
      <c r="S277" t="s">
        <v>43</v>
      </c>
      <c r="T277">
        <v>4</v>
      </c>
      <c r="U277">
        <v>4</v>
      </c>
      <c r="V277">
        <v>2</v>
      </c>
      <c r="W277">
        <v>3</v>
      </c>
      <c r="X277">
        <v>5</v>
      </c>
      <c r="Y277">
        <v>0</v>
      </c>
      <c r="Z277">
        <v>6</v>
      </c>
      <c r="AA277">
        <v>12</v>
      </c>
      <c r="AB277">
        <v>12</v>
      </c>
      <c r="AC277">
        <v>12</v>
      </c>
      <c r="AD277" t="s">
        <v>46</v>
      </c>
      <c r="AE277" t="s">
        <v>56</v>
      </c>
      <c r="AF277" t="s">
        <v>46</v>
      </c>
      <c r="AG277" t="s">
        <v>47</v>
      </c>
      <c r="AH277">
        <v>0</v>
      </c>
      <c r="AI277" t="s">
        <v>58</v>
      </c>
    </row>
    <row r="278" spans="1:35" x14ac:dyDescent="0.25">
      <c r="A278" t="s">
        <v>35</v>
      </c>
      <c r="B278" t="s">
        <v>36</v>
      </c>
      <c r="C278">
        <v>18</v>
      </c>
      <c r="D278" t="s">
        <v>63</v>
      </c>
      <c r="E278" t="s">
        <v>38</v>
      </c>
      <c r="F278" t="s">
        <v>39</v>
      </c>
      <c r="G278" t="s">
        <v>40</v>
      </c>
      <c r="H278">
        <v>3</v>
      </c>
      <c r="I278">
        <v>2</v>
      </c>
      <c r="J278" t="s">
        <v>51</v>
      </c>
      <c r="K278" t="s">
        <v>54</v>
      </c>
      <c r="L278">
        <v>2</v>
      </c>
      <c r="M278">
        <v>2</v>
      </c>
      <c r="N278" t="s">
        <v>44</v>
      </c>
      <c r="O278" t="s">
        <v>44</v>
      </c>
      <c r="P278" t="s">
        <v>44</v>
      </c>
      <c r="Q278" t="s">
        <v>44</v>
      </c>
      <c r="R278" t="s">
        <v>43</v>
      </c>
      <c r="S278" t="s">
        <v>43</v>
      </c>
      <c r="T278">
        <v>1</v>
      </c>
      <c r="U278">
        <v>1</v>
      </c>
      <c r="V278">
        <v>1</v>
      </c>
      <c r="W278">
        <v>1</v>
      </c>
      <c r="X278">
        <v>5</v>
      </c>
      <c r="Y278">
        <v>0</v>
      </c>
      <c r="Z278">
        <v>75</v>
      </c>
      <c r="AA278">
        <v>10</v>
      </c>
      <c r="AB278">
        <v>9</v>
      </c>
      <c r="AC278">
        <v>9</v>
      </c>
      <c r="AD278" t="s">
        <v>45</v>
      </c>
      <c r="AE278" t="s">
        <v>45</v>
      </c>
      <c r="AF278" t="s">
        <v>62</v>
      </c>
      <c r="AG278" t="s">
        <v>47</v>
      </c>
      <c r="AH278">
        <v>-1</v>
      </c>
      <c r="AI278" t="s">
        <v>60</v>
      </c>
    </row>
    <row r="279" spans="1:35" x14ac:dyDescent="0.25">
      <c r="A279" t="s">
        <v>35</v>
      </c>
      <c r="B279" t="s">
        <v>59</v>
      </c>
      <c r="C279">
        <v>18</v>
      </c>
      <c r="D279" t="s">
        <v>37</v>
      </c>
      <c r="E279" t="s">
        <v>38</v>
      </c>
      <c r="F279" t="s">
        <v>49</v>
      </c>
      <c r="G279" t="s">
        <v>40</v>
      </c>
      <c r="H279">
        <v>4</v>
      </c>
      <c r="I279">
        <v>4</v>
      </c>
      <c r="J279" t="s">
        <v>42</v>
      </c>
      <c r="K279" t="s">
        <v>54</v>
      </c>
      <c r="L279">
        <v>1</v>
      </c>
      <c r="M279">
        <v>2</v>
      </c>
      <c r="N279" t="s">
        <v>44</v>
      </c>
      <c r="O279" t="s">
        <v>44</v>
      </c>
      <c r="P279" t="s">
        <v>43</v>
      </c>
      <c r="Q279" t="s">
        <v>43</v>
      </c>
      <c r="R279" t="s">
        <v>43</v>
      </c>
      <c r="S279" t="s">
        <v>44</v>
      </c>
      <c r="T279">
        <v>2</v>
      </c>
      <c r="U279">
        <v>4</v>
      </c>
      <c r="V279">
        <v>1</v>
      </c>
      <c r="W279">
        <v>4</v>
      </c>
      <c r="X279">
        <v>3</v>
      </c>
      <c r="Y279">
        <v>0</v>
      </c>
      <c r="Z279">
        <v>22</v>
      </c>
      <c r="AA279">
        <v>9</v>
      </c>
      <c r="AB279">
        <v>9</v>
      </c>
      <c r="AC279">
        <v>9</v>
      </c>
      <c r="AD279" t="s">
        <v>45</v>
      </c>
      <c r="AE279" t="s">
        <v>45</v>
      </c>
      <c r="AF279" t="s">
        <v>62</v>
      </c>
      <c r="AG279" t="s">
        <v>61</v>
      </c>
      <c r="AH279">
        <v>0</v>
      </c>
      <c r="AI279" t="s">
        <v>58</v>
      </c>
    </row>
    <row r="280" spans="1:35" x14ac:dyDescent="0.25">
      <c r="A280" t="s">
        <v>35</v>
      </c>
      <c r="B280" t="s">
        <v>36</v>
      </c>
      <c r="C280">
        <v>18</v>
      </c>
      <c r="D280" t="s">
        <v>37</v>
      </c>
      <c r="E280" t="s">
        <v>38</v>
      </c>
      <c r="F280" t="s">
        <v>49</v>
      </c>
      <c r="G280" t="s">
        <v>50</v>
      </c>
      <c r="H280">
        <v>4</v>
      </c>
      <c r="I280">
        <v>4</v>
      </c>
      <c r="J280" t="s">
        <v>23</v>
      </c>
      <c r="K280" t="s">
        <v>23</v>
      </c>
      <c r="L280">
        <v>2</v>
      </c>
      <c r="M280">
        <v>1</v>
      </c>
      <c r="N280" t="s">
        <v>43</v>
      </c>
      <c r="O280" t="s">
        <v>43</v>
      </c>
      <c r="P280" t="s">
        <v>44</v>
      </c>
      <c r="Q280" t="s">
        <v>43</v>
      </c>
      <c r="R280" t="s">
        <v>43</v>
      </c>
      <c r="S280" t="s">
        <v>43</v>
      </c>
      <c r="T280">
        <v>4</v>
      </c>
      <c r="U280">
        <v>4</v>
      </c>
      <c r="V280">
        <v>1</v>
      </c>
      <c r="W280">
        <v>1</v>
      </c>
      <c r="X280">
        <v>4</v>
      </c>
      <c r="Y280">
        <v>1</v>
      </c>
      <c r="Z280">
        <v>15</v>
      </c>
      <c r="AA280">
        <v>9</v>
      </c>
      <c r="AB280">
        <v>8</v>
      </c>
      <c r="AC280">
        <v>8</v>
      </c>
      <c r="AD280" t="s">
        <v>45</v>
      </c>
      <c r="AE280" t="s">
        <v>45</v>
      </c>
      <c r="AF280" t="s">
        <v>46</v>
      </c>
      <c r="AG280" t="s">
        <v>47</v>
      </c>
      <c r="AH280">
        <v>-1</v>
      </c>
      <c r="AI280" t="s">
        <v>60</v>
      </c>
    </row>
    <row r="281" spans="1:35" x14ac:dyDescent="0.25">
      <c r="A281" t="s">
        <v>35</v>
      </c>
      <c r="B281" t="s">
        <v>59</v>
      </c>
      <c r="C281">
        <v>18</v>
      </c>
      <c r="D281" t="s">
        <v>37</v>
      </c>
      <c r="E281" t="s">
        <v>53</v>
      </c>
      <c r="F281" t="s">
        <v>49</v>
      </c>
      <c r="G281" t="s">
        <v>40</v>
      </c>
      <c r="H281">
        <v>4</v>
      </c>
      <c r="I281">
        <v>3</v>
      </c>
      <c r="J281" t="s">
        <v>42</v>
      </c>
      <c r="K281" t="s">
        <v>54</v>
      </c>
      <c r="L281">
        <v>1</v>
      </c>
      <c r="M281">
        <v>2</v>
      </c>
      <c r="N281" t="s">
        <v>44</v>
      </c>
      <c r="O281" t="s">
        <v>44</v>
      </c>
      <c r="P281" t="s">
        <v>43</v>
      </c>
      <c r="Q281" t="s">
        <v>43</v>
      </c>
      <c r="R281" t="s">
        <v>43</v>
      </c>
      <c r="S281" t="s">
        <v>44</v>
      </c>
      <c r="T281">
        <v>2</v>
      </c>
      <c r="U281">
        <v>3</v>
      </c>
      <c r="V281">
        <v>1</v>
      </c>
      <c r="W281">
        <v>2</v>
      </c>
      <c r="X281">
        <v>1</v>
      </c>
      <c r="Y281">
        <v>0</v>
      </c>
      <c r="Z281">
        <v>8</v>
      </c>
      <c r="AA281">
        <v>10</v>
      </c>
      <c r="AB281">
        <v>11</v>
      </c>
      <c r="AC281">
        <v>10</v>
      </c>
      <c r="AD281" t="s">
        <v>46</v>
      </c>
      <c r="AE281" t="s">
        <v>56</v>
      </c>
      <c r="AF281" t="s">
        <v>46</v>
      </c>
      <c r="AG281" t="s">
        <v>61</v>
      </c>
      <c r="AH281">
        <v>0</v>
      </c>
      <c r="AI281" t="s">
        <v>58</v>
      </c>
    </row>
    <row r="282" spans="1:35" x14ac:dyDescent="0.25">
      <c r="A282" t="s">
        <v>35</v>
      </c>
      <c r="B282" t="s">
        <v>59</v>
      </c>
      <c r="C282">
        <v>17</v>
      </c>
      <c r="D282" t="s">
        <v>37</v>
      </c>
      <c r="E282" t="s">
        <v>53</v>
      </c>
      <c r="F282" t="s">
        <v>39</v>
      </c>
      <c r="G282" t="s">
        <v>40</v>
      </c>
      <c r="H282">
        <v>4</v>
      </c>
      <c r="I282">
        <v>1</v>
      </c>
      <c r="J282" t="s">
        <v>54</v>
      </c>
      <c r="K282" t="s">
        <v>51</v>
      </c>
      <c r="L282">
        <v>1</v>
      </c>
      <c r="M282">
        <v>2</v>
      </c>
      <c r="N282" t="s">
        <v>44</v>
      </c>
      <c r="O282" t="s">
        <v>44</v>
      </c>
      <c r="P282" t="s">
        <v>43</v>
      </c>
      <c r="Q282" t="s">
        <v>43</v>
      </c>
      <c r="R282" t="s">
        <v>43</v>
      </c>
      <c r="S282" t="s">
        <v>43</v>
      </c>
      <c r="T282">
        <v>5</v>
      </c>
      <c r="U282">
        <v>4</v>
      </c>
      <c r="V282">
        <v>2</v>
      </c>
      <c r="W282">
        <v>4</v>
      </c>
      <c r="X282">
        <v>5</v>
      </c>
      <c r="Y282">
        <v>0</v>
      </c>
      <c r="Z282">
        <v>30</v>
      </c>
      <c r="AA282">
        <v>8</v>
      </c>
      <c r="AB282">
        <v>8</v>
      </c>
      <c r="AC282">
        <v>8</v>
      </c>
      <c r="AD282" t="s">
        <v>45</v>
      </c>
      <c r="AE282" t="s">
        <v>45</v>
      </c>
      <c r="AF282" t="s">
        <v>62</v>
      </c>
      <c r="AG282" t="s">
        <v>61</v>
      </c>
      <c r="AH282">
        <v>0</v>
      </c>
      <c r="AI282" t="s">
        <v>58</v>
      </c>
    </row>
    <row r="283" spans="1:35" x14ac:dyDescent="0.25">
      <c r="A283" t="s">
        <v>35</v>
      </c>
      <c r="B283" t="s">
        <v>59</v>
      </c>
      <c r="C283">
        <v>17</v>
      </c>
      <c r="D283" t="s">
        <v>37</v>
      </c>
      <c r="E283" t="s">
        <v>53</v>
      </c>
      <c r="F283" t="s">
        <v>39</v>
      </c>
      <c r="G283" t="s">
        <v>40</v>
      </c>
      <c r="H283">
        <v>3</v>
      </c>
      <c r="I283">
        <v>2</v>
      </c>
      <c r="J283" t="s">
        <v>42</v>
      </c>
      <c r="K283" t="s">
        <v>54</v>
      </c>
      <c r="L283">
        <v>1</v>
      </c>
      <c r="M283">
        <v>1</v>
      </c>
      <c r="N283" t="s">
        <v>44</v>
      </c>
      <c r="O283" t="s">
        <v>44</v>
      </c>
      <c r="P283" t="s">
        <v>44</v>
      </c>
      <c r="Q283" t="s">
        <v>44</v>
      </c>
      <c r="R283" t="s">
        <v>43</v>
      </c>
      <c r="S283" t="s">
        <v>44</v>
      </c>
      <c r="T283">
        <v>4</v>
      </c>
      <c r="U283">
        <v>4</v>
      </c>
      <c r="V283">
        <v>3</v>
      </c>
      <c r="W283">
        <v>4</v>
      </c>
      <c r="X283">
        <v>3</v>
      </c>
      <c r="Y283">
        <v>1</v>
      </c>
      <c r="Z283">
        <v>19</v>
      </c>
      <c r="AA283">
        <v>11</v>
      </c>
      <c r="AB283">
        <v>9</v>
      </c>
      <c r="AC283">
        <v>10</v>
      </c>
      <c r="AD283" t="s">
        <v>46</v>
      </c>
      <c r="AE283" t="s">
        <v>45</v>
      </c>
      <c r="AF283" t="s">
        <v>62</v>
      </c>
      <c r="AG283" t="s">
        <v>61</v>
      </c>
      <c r="AH283">
        <v>-1</v>
      </c>
      <c r="AI283" t="s">
        <v>60</v>
      </c>
    </row>
    <row r="284" spans="1:35" x14ac:dyDescent="0.25">
      <c r="A284" t="s">
        <v>35</v>
      </c>
      <c r="B284" t="s">
        <v>36</v>
      </c>
      <c r="C284">
        <v>18</v>
      </c>
      <c r="D284" t="s">
        <v>63</v>
      </c>
      <c r="E284" t="s">
        <v>53</v>
      </c>
      <c r="F284" t="s">
        <v>49</v>
      </c>
      <c r="G284" t="s">
        <v>40</v>
      </c>
      <c r="H284">
        <v>1</v>
      </c>
      <c r="I284">
        <v>1</v>
      </c>
      <c r="J284" t="s">
        <v>41</v>
      </c>
      <c r="K284" t="s">
        <v>51</v>
      </c>
      <c r="L284">
        <v>4</v>
      </c>
      <c r="M284">
        <v>2</v>
      </c>
      <c r="N284" t="s">
        <v>44</v>
      </c>
      <c r="O284" t="s">
        <v>43</v>
      </c>
      <c r="P284" t="s">
        <v>43</v>
      </c>
      <c r="Q284" t="s">
        <v>43</v>
      </c>
      <c r="R284" t="s">
        <v>44</v>
      </c>
      <c r="S284" t="s">
        <v>44</v>
      </c>
      <c r="T284">
        <v>2</v>
      </c>
      <c r="U284">
        <v>2</v>
      </c>
      <c r="V284">
        <v>1</v>
      </c>
      <c r="W284">
        <v>1</v>
      </c>
      <c r="X284">
        <v>3</v>
      </c>
      <c r="Y284">
        <v>0</v>
      </c>
      <c r="Z284">
        <v>1</v>
      </c>
      <c r="AA284">
        <v>12</v>
      </c>
      <c r="AB284">
        <v>12</v>
      </c>
      <c r="AC284">
        <v>12</v>
      </c>
      <c r="AD284" t="s">
        <v>46</v>
      </c>
      <c r="AE284" t="s">
        <v>56</v>
      </c>
      <c r="AF284" t="s">
        <v>52</v>
      </c>
      <c r="AG284" t="s">
        <v>64</v>
      </c>
      <c r="AH284">
        <v>0</v>
      </c>
      <c r="AI284" t="s">
        <v>58</v>
      </c>
    </row>
    <row r="285" spans="1:35" x14ac:dyDescent="0.25">
      <c r="A285" t="s">
        <v>35</v>
      </c>
      <c r="B285" t="s">
        <v>36</v>
      </c>
      <c r="C285">
        <v>18</v>
      </c>
      <c r="D285" t="s">
        <v>37</v>
      </c>
      <c r="E285" t="s">
        <v>38</v>
      </c>
      <c r="F285" t="s">
        <v>49</v>
      </c>
      <c r="G285" t="s">
        <v>40</v>
      </c>
      <c r="H285">
        <v>1</v>
      </c>
      <c r="I285">
        <v>1</v>
      </c>
      <c r="J285" t="s">
        <v>51</v>
      </c>
      <c r="K285" t="s">
        <v>51</v>
      </c>
      <c r="L285">
        <v>2</v>
      </c>
      <c r="M285">
        <v>2</v>
      </c>
      <c r="N285" t="s">
        <v>43</v>
      </c>
      <c r="O285" t="s">
        <v>44</v>
      </c>
      <c r="P285" t="s">
        <v>44</v>
      </c>
      <c r="Q285" t="s">
        <v>43</v>
      </c>
      <c r="R285" t="s">
        <v>43</v>
      </c>
      <c r="S285" t="s">
        <v>44</v>
      </c>
      <c r="T285">
        <v>4</v>
      </c>
      <c r="U285">
        <v>4</v>
      </c>
      <c r="V285">
        <v>1</v>
      </c>
      <c r="W285">
        <v>1</v>
      </c>
      <c r="X285">
        <v>4</v>
      </c>
      <c r="Y285">
        <v>0</v>
      </c>
      <c r="Z285">
        <v>4</v>
      </c>
      <c r="AA285">
        <v>8</v>
      </c>
      <c r="AB285">
        <v>9</v>
      </c>
      <c r="AC285">
        <v>10</v>
      </c>
      <c r="AD285" t="s">
        <v>46</v>
      </c>
      <c r="AE285" t="s">
        <v>56</v>
      </c>
      <c r="AF285" t="s">
        <v>52</v>
      </c>
      <c r="AG285" t="s">
        <v>47</v>
      </c>
      <c r="AH285">
        <v>2</v>
      </c>
      <c r="AI285" t="s">
        <v>48</v>
      </c>
    </row>
    <row r="286" spans="1:35" x14ac:dyDescent="0.25">
      <c r="A286" t="s">
        <v>35</v>
      </c>
      <c r="B286" t="s">
        <v>36</v>
      </c>
      <c r="C286">
        <v>17</v>
      </c>
      <c r="D286" t="s">
        <v>37</v>
      </c>
      <c r="E286" t="s">
        <v>38</v>
      </c>
      <c r="F286" t="s">
        <v>49</v>
      </c>
      <c r="G286" t="s">
        <v>40</v>
      </c>
      <c r="H286">
        <v>2</v>
      </c>
      <c r="I286">
        <v>2</v>
      </c>
      <c r="J286" t="s">
        <v>51</v>
      </c>
      <c r="K286" t="s">
        <v>51</v>
      </c>
      <c r="L286">
        <v>2</v>
      </c>
      <c r="M286">
        <v>1</v>
      </c>
      <c r="N286" t="s">
        <v>44</v>
      </c>
      <c r="O286" t="s">
        <v>43</v>
      </c>
      <c r="P286" t="s">
        <v>44</v>
      </c>
      <c r="Q286" t="s">
        <v>44</v>
      </c>
      <c r="R286" t="s">
        <v>43</v>
      </c>
      <c r="S286" t="s">
        <v>44</v>
      </c>
      <c r="T286">
        <v>4</v>
      </c>
      <c r="U286">
        <v>5</v>
      </c>
      <c r="V286">
        <v>1</v>
      </c>
      <c r="W286">
        <v>2</v>
      </c>
      <c r="X286">
        <v>5</v>
      </c>
      <c r="Y286">
        <v>0</v>
      </c>
      <c r="Z286">
        <v>4</v>
      </c>
      <c r="AA286">
        <v>10</v>
      </c>
      <c r="AB286">
        <v>9</v>
      </c>
      <c r="AC286">
        <v>11</v>
      </c>
      <c r="AD286" t="s">
        <v>46</v>
      </c>
      <c r="AE286" t="s">
        <v>56</v>
      </c>
      <c r="AF286" t="s">
        <v>52</v>
      </c>
      <c r="AG286" t="s">
        <v>47</v>
      </c>
      <c r="AH286">
        <v>1</v>
      </c>
      <c r="AI286" t="s">
        <v>48</v>
      </c>
    </row>
    <row r="287" spans="1:35" x14ac:dyDescent="0.25">
      <c r="A287" t="s">
        <v>35</v>
      </c>
      <c r="B287" t="s">
        <v>59</v>
      </c>
      <c r="C287">
        <v>17</v>
      </c>
      <c r="D287" t="s">
        <v>37</v>
      </c>
      <c r="E287" t="s">
        <v>38</v>
      </c>
      <c r="F287" t="s">
        <v>49</v>
      </c>
      <c r="G287" t="s">
        <v>50</v>
      </c>
      <c r="H287">
        <v>1</v>
      </c>
      <c r="I287">
        <v>1</v>
      </c>
      <c r="J287" t="s">
        <v>51</v>
      </c>
      <c r="K287" t="s">
        <v>51</v>
      </c>
      <c r="L287">
        <v>2</v>
      </c>
      <c r="M287">
        <v>1</v>
      </c>
      <c r="N287" t="s">
        <v>44</v>
      </c>
      <c r="O287" t="s">
        <v>44</v>
      </c>
      <c r="P287" t="s">
        <v>43</v>
      </c>
      <c r="Q287" t="s">
        <v>44</v>
      </c>
      <c r="R287" t="s">
        <v>43</v>
      </c>
      <c r="S287" t="s">
        <v>44</v>
      </c>
      <c r="T287">
        <v>3</v>
      </c>
      <c r="U287">
        <v>3</v>
      </c>
      <c r="V287">
        <v>1</v>
      </c>
      <c r="W287">
        <v>2</v>
      </c>
      <c r="X287">
        <v>4</v>
      </c>
      <c r="Y287">
        <v>0</v>
      </c>
      <c r="Z287">
        <v>2</v>
      </c>
      <c r="AA287">
        <v>12</v>
      </c>
      <c r="AB287">
        <v>10</v>
      </c>
      <c r="AC287">
        <v>11</v>
      </c>
      <c r="AD287" t="s">
        <v>46</v>
      </c>
      <c r="AE287" t="s">
        <v>56</v>
      </c>
      <c r="AF287" t="s">
        <v>52</v>
      </c>
      <c r="AG287" t="s">
        <v>47</v>
      </c>
      <c r="AH287">
        <v>-1</v>
      </c>
      <c r="AI287" t="s">
        <v>60</v>
      </c>
    </row>
    <row r="288" spans="1:35" x14ac:dyDescent="0.25">
      <c r="A288" t="s">
        <v>35</v>
      </c>
      <c r="B288" t="s">
        <v>36</v>
      </c>
      <c r="C288">
        <v>18</v>
      </c>
      <c r="D288" t="s">
        <v>37</v>
      </c>
      <c r="E288" t="s">
        <v>38</v>
      </c>
      <c r="F288" t="s">
        <v>49</v>
      </c>
      <c r="G288" t="s">
        <v>40</v>
      </c>
      <c r="H288">
        <v>2</v>
      </c>
      <c r="I288">
        <v>2</v>
      </c>
      <c r="J288" t="s">
        <v>41</v>
      </c>
      <c r="K288" t="s">
        <v>41</v>
      </c>
      <c r="L288">
        <v>3</v>
      </c>
      <c r="M288">
        <v>1</v>
      </c>
      <c r="N288" t="s">
        <v>44</v>
      </c>
      <c r="O288" t="s">
        <v>43</v>
      </c>
      <c r="P288" t="s">
        <v>43</v>
      </c>
      <c r="Q288" t="s">
        <v>44</v>
      </c>
      <c r="R288" t="s">
        <v>43</v>
      </c>
      <c r="S288" t="s">
        <v>44</v>
      </c>
      <c r="T288">
        <v>3</v>
      </c>
      <c r="U288">
        <v>3</v>
      </c>
      <c r="V288">
        <v>1</v>
      </c>
      <c r="W288">
        <v>2</v>
      </c>
      <c r="X288">
        <v>2</v>
      </c>
      <c r="Y288">
        <v>0</v>
      </c>
      <c r="Z288">
        <v>5</v>
      </c>
      <c r="AA288">
        <v>18</v>
      </c>
      <c r="AB288">
        <v>18</v>
      </c>
      <c r="AC288">
        <v>19</v>
      </c>
      <c r="AD288" t="s">
        <v>55</v>
      </c>
      <c r="AE288" t="s">
        <v>56</v>
      </c>
      <c r="AF288" t="s">
        <v>52</v>
      </c>
      <c r="AG288" t="s">
        <v>57</v>
      </c>
      <c r="AH288">
        <v>1</v>
      </c>
      <c r="AI288" t="s">
        <v>48</v>
      </c>
    </row>
    <row r="289" spans="1:35" x14ac:dyDescent="0.25">
      <c r="A289" t="s">
        <v>35</v>
      </c>
      <c r="B289" t="s">
        <v>36</v>
      </c>
      <c r="C289">
        <v>17</v>
      </c>
      <c r="D289" t="s">
        <v>37</v>
      </c>
      <c r="E289" t="s">
        <v>38</v>
      </c>
      <c r="F289" t="s">
        <v>49</v>
      </c>
      <c r="G289" t="s">
        <v>40</v>
      </c>
      <c r="H289">
        <v>1</v>
      </c>
      <c r="I289">
        <v>1</v>
      </c>
      <c r="J289" t="s">
        <v>54</v>
      </c>
      <c r="K289" t="s">
        <v>42</v>
      </c>
      <c r="L289">
        <v>3</v>
      </c>
      <c r="M289">
        <v>1</v>
      </c>
      <c r="N289" t="s">
        <v>44</v>
      </c>
      <c r="O289" t="s">
        <v>43</v>
      </c>
      <c r="P289" t="s">
        <v>43</v>
      </c>
      <c r="Q289" t="s">
        <v>44</v>
      </c>
      <c r="R289" t="s">
        <v>43</v>
      </c>
      <c r="S289" t="s">
        <v>44</v>
      </c>
      <c r="T289">
        <v>3</v>
      </c>
      <c r="U289">
        <v>3</v>
      </c>
      <c r="V289">
        <v>1</v>
      </c>
      <c r="W289">
        <v>1</v>
      </c>
      <c r="X289">
        <v>3</v>
      </c>
      <c r="Y289">
        <v>0</v>
      </c>
      <c r="Z289">
        <v>6</v>
      </c>
      <c r="AA289">
        <v>13</v>
      </c>
      <c r="AB289">
        <v>12</v>
      </c>
      <c r="AC289">
        <v>12</v>
      </c>
      <c r="AD289" t="s">
        <v>46</v>
      </c>
      <c r="AE289" t="s">
        <v>56</v>
      </c>
      <c r="AF289" t="s">
        <v>46</v>
      </c>
      <c r="AG289" t="s">
        <v>57</v>
      </c>
      <c r="AH289">
        <v>-1</v>
      </c>
      <c r="AI289" t="s">
        <v>60</v>
      </c>
    </row>
    <row r="290" spans="1:35" x14ac:dyDescent="0.25">
      <c r="A290" t="s">
        <v>35</v>
      </c>
      <c r="B290" t="s">
        <v>59</v>
      </c>
      <c r="C290">
        <v>18</v>
      </c>
      <c r="D290" t="s">
        <v>37</v>
      </c>
      <c r="E290" t="s">
        <v>38</v>
      </c>
      <c r="F290" t="s">
        <v>49</v>
      </c>
      <c r="G290" t="s">
        <v>40</v>
      </c>
      <c r="H290">
        <v>2</v>
      </c>
      <c r="I290">
        <v>1</v>
      </c>
      <c r="J290" t="s">
        <v>54</v>
      </c>
      <c r="K290" t="s">
        <v>54</v>
      </c>
      <c r="L290">
        <v>3</v>
      </c>
      <c r="M290">
        <v>1</v>
      </c>
      <c r="N290" t="s">
        <v>44</v>
      </c>
      <c r="O290" t="s">
        <v>44</v>
      </c>
      <c r="P290" t="s">
        <v>43</v>
      </c>
      <c r="Q290" t="s">
        <v>43</v>
      </c>
      <c r="R290" t="s">
        <v>43</v>
      </c>
      <c r="S290" t="s">
        <v>44</v>
      </c>
      <c r="T290">
        <v>2</v>
      </c>
      <c r="U290">
        <v>4</v>
      </c>
      <c r="V290">
        <v>1</v>
      </c>
      <c r="W290">
        <v>3</v>
      </c>
      <c r="X290">
        <v>2</v>
      </c>
      <c r="Y290">
        <v>0</v>
      </c>
      <c r="Z290">
        <v>6</v>
      </c>
      <c r="AA290">
        <v>15</v>
      </c>
      <c r="AB290">
        <v>14</v>
      </c>
      <c r="AC290">
        <v>14</v>
      </c>
      <c r="AD290" t="s">
        <v>55</v>
      </c>
      <c r="AE290" t="s">
        <v>56</v>
      </c>
      <c r="AF290" t="s">
        <v>46</v>
      </c>
      <c r="AG290" t="s">
        <v>57</v>
      </c>
      <c r="AH290">
        <v>-1</v>
      </c>
      <c r="AI290" t="s">
        <v>60</v>
      </c>
    </row>
    <row r="291" spans="1:35" x14ac:dyDescent="0.25">
      <c r="A291" t="s">
        <v>35</v>
      </c>
      <c r="B291" t="s">
        <v>59</v>
      </c>
      <c r="C291">
        <v>18</v>
      </c>
      <c r="D291" t="s">
        <v>37</v>
      </c>
      <c r="E291" t="s">
        <v>53</v>
      </c>
      <c r="F291" t="s">
        <v>39</v>
      </c>
      <c r="G291" t="s">
        <v>40</v>
      </c>
      <c r="H291">
        <v>4</v>
      </c>
      <c r="I291">
        <v>4</v>
      </c>
      <c r="J291" t="s">
        <v>42</v>
      </c>
      <c r="K291" t="s">
        <v>42</v>
      </c>
      <c r="L291">
        <v>2</v>
      </c>
      <c r="M291">
        <v>1</v>
      </c>
      <c r="N291" t="s">
        <v>44</v>
      </c>
      <c r="O291" t="s">
        <v>43</v>
      </c>
      <c r="P291" t="s">
        <v>43</v>
      </c>
      <c r="Q291" t="s">
        <v>43</v>
      </c>
      <c r="R291" t="s">
        <v>43</v>
      </c>
      <c r="S291" t="s">
        <v>44</v>
      </c>
      <c r="T291">
        <v>4</v>
      </c>
      <c r="U291">
        <v>3</v>
      </c>
      <c r="V291">
        <v>1</v>
      </c>
      <c r="W291">
        <v>1</v>
      </c>
      <c r="X291">
        <v>2</v>
      </c>
      <c r="Y291">
        <v>0</v>
      </c>
      <c r="Z291">
        <v>9</v>
      </c>
      <c r="AA291">
        <v>15</v>
      </c>
      <c r="AB291">
        <v>13</v>
      </c>
      <c r="AC291">
        <v>15</v>
      </c>
      <c r="AD291" t="s">
        <v>55</v>
      </c>
      <c r="AE291" t="s">
        <v>56</v>
      </c>
      <c r="AF291" t="s">
        <v>46</v>
      </c>
      <c r="AG291" t="s">
        <v>47</v>
      </c>
      <c r="AH291">
        <v>0</v>
      </c>
      <c r="AI291" t="s">
        <v>58</v>
      </c>
    </row>
    <row r="292" spans="1:35" x14ac:dyDescent="0.25">
      <c r="A292" t="s">
        <v>35</v>
      </c>
      <c r="B292" t="s">
        <v>59</v>
      </c>
      <c r="C292">
        <v>18</v>
      </c>
      <c r="D292" t="s">
        <v>37</v>
      </c>
      <c r="E292" t="s">
        <v>38</v>
      </c>
      <c r="F292" t="s">
        <v>49</v>
      </c>
      <c r="G292" t="s">
        <v>40</v>
      </c>
      <c r="H292">
        <v>4</v>
      </c>
      <c r="I292">
        <v>2</v>
      </c>
      <c r="J292" t="s">
        <v>42</v>
      </c>
      <c r="K292" t="s">
        <v>51</v>
      </c>
      <c r="L292">
        <v>2</v>
      </c>
      <c r="M292">
        <v>1</v>
      </c>
      <c r="N292" t="s">
        <v>44</v>
      </c>
      <c r="O292" t="s">
        <v>43</v>
      </c>
      <c r="P292" t="s">
        <v>43</v>
      </c>
      <c r="Q292" t="s">
        <v>43</v>
      </c>
      <c r="R292" t="s">
        <v>43</v>
      </c>
      <c r="S292" t="s">
        <v>43</v>
      </c>
      <c r="T292">
        <v>3</v>
      </c>
      <c r="U292">
        <v>2</v>
      </c>
      <c r="V292">
        <v>1</v>
      </c>
      <c r="W292">
        <v>4</v>
      </c>
      <c r="X292">
        <v>5</v>
      </c>
      <c r="Y292">
        <v>0</v>
      </c>
      <c r="Z292">
        <v>11</v>
      </c>
      <c r="AA292">
        <v>12</v>
      </c>
      <c r="AB292">
        <v>11</v>
      </c>
      <c r="AC292">
        <v>11</v>
      </c>
      <c r="AD292" t="s">
        <v>46</v>
      </c>
      <c r="AE292" t="s">
        <v>45</v>
      </c>
      <c r="AF292" t="s">
        <v>46</v>
      </c>
      <c r="AG292" t="s">
        <v>47</v>
      </c>
      <c r="AH292">
        <v>-1</v>
      </c>
      <c r="AI292" t="s">
        <v>60</v>
      </c>
    </row>
    <row r="293" spans="1:35" x14ac:dyDescent="0.25">
      <c r="A293" t="s">
        <v>35</v>
      </c>
      <c r="B293" t="s">
        <v>36</v>
      </c>
      <c r="C293">
        <v>17</v>
      </c>
      <c r="D293" t="s">
        <v>37</v>
      </c>
      <c r="E293" t="s">
        <v>38</v>
      </c>
      <c r="F293" t="s">
        <v>49</v>
      </c>
      <c r="G293" t="s">
        <v>40</v>
      </c>
      <c r="H293">
        <v>4</v>
      </c>
      <c r="I293">
        <v>3</v>
      </c>
      <c r="J293" t="s">
        <v>23</v>
      </c>
      <c r="K293" t="s">
        <v>54</v>
      </c>
      <c r="L293">
        <v>3</v>
      </c>
      <c r="M293">
        <v>1</v>
      </c>
      <c r="N293" t="s">
        <v>44</v>
      </c>
      <c r="O293" t="s">
        <v>43</v>
      </c>
      <c r="P293" t="s">
        <v>43</v>
      </c>
      <c r="Q293" t="s">
        <v>44</v>
      </c>
      <c r="R293" t="s">
        <v>43</v>
      </c>
      <c r="S293" t="s">
        <v>44</v>
      </c>
      <c r="T293">
        <v>2</v>
      </c>
      <c r="U293">
        <v>2</v>
      </c>
      <c r="V293">
        <v>1</v>
      </c>
      <c r="W293">
        <v>2</v>
      </c>
      <c r="X293">
        <v>3</v>
      </c>
      <c r="Y293">
        <v>0</v>
      </c>
      <c r="Z293">
        <v>0</v>
      </c>
      <c r="AA293">
        <v>15</v>
      </c>
      <c r="AB293">
        <v>15</v>
      </c>
      <c r="AC293">
        <v>15</v>
      </c>
      <c r="AD293" t="s">
        <v>55</v>
      </c>
      <c r="AE293" t="s">
        <v>56</v>
      </c>
      <c r="AF293" t="s">
        <v>52</v>
      </c>
      <c r="AG293" t="s">
        <v>57</v>
      </c>
      <c r="AH293">
        <v>0</v>
      </c>
      <c r="AI293" t="s">
        <v>58</v>
      </c>
    </row>
    <row r="294" spans="1:35" x14ac:dyDescent="0.25">
      <c r="A294" t="s">
        <v>35</v>
      </c>
      <c r="B294" t="s">
        <v>36</v>
      </c>
      <c r="C294">
        <v>18</v>
      </c>
      <c r="D294" t="s">
        <v>37</v>
      </c>
      <c r="E294" t="s">
        <v>53</v>
      </c>
      <c r="F294" t="s">
        <v>49</v>
      </c>
      <c r="G294" t="s">
        <v>40</v>
      </c>
      <c r="H294">
        <v>2</v>
      </c>
      <c r="I294">
        <v>1</v>
      </c>
      <c r="J294" t="s">
        <v>54</v>
      </c>
      <c r="K294" t="s">
        <v>41</v>
      </c>
      <c r="L294">
        <v>2</v>
      </c>
      <c r="M294">
        <v>1</v>
      </c>
      <c r="N294" t="s">
        <v>44</v>
      </c>
      <c r="O294" t="s">
        <v>44</v>
      </c>
      <c r="P294" t="s">
        <v>44</v>
      </c>
      <c r="Q294" t="s">
        <v>44</v>
      </c>
      <c r="R294" t="s">
        <v>43</v>
      </c>
      <c r="S294" t="s">
        <v>43</v>
      </c>
      <c r="T294">
        <v>4</v>
      </c>
      <c r="U294">
        <v>3</v>
      </c>
      <c r="V294">
        <v>1</v>
      </c>
      <c r="W294">
        <v>1</v>
      </c>
      <c r="X294">
        <v>5</v>
      </c>
      <c r="Y294">
        <v>1</v>
      </c>
      <c r="Z294">
        <v>12</v>
      </c>
      <c r="AA294">
        <v>12</v>
      </c>
      <c r="AB294">
        <v>12</v>
      </c>
      <c r="AC294">
        <v>13</v>
      </c>
      <c r="AD294" t="s">
        <v>46</v>
      </c>
      <c r="AE294" t="s">
        <v>45</v>
      </c>
      <c r="AF294" t="s">
        <v>46</v>
      </c>
      <c r="AG294" t="s">
        <v>47</v>
      </c>
      <c r="AH294">
        <v>1</v>
      </c>
      <c r="AI294" t="s">
        <v>48</v>
      </c>
    </row>
    <row r="295" spans="1:35" x14ac:dyDescent="0.25">
      <c r="A295" t="s">
        <v>35</v>
      </c>
      <c r="B295" t="s">
        <v>36</v>
      </c>
      <c r="C295">
        <v>17</v>
      </c>
      <c r="D295" t="s">
        <v>63</v>
      </c>
      <c r="E295" t="s">
        <v>53</v>
      </c>
      <c r="F295" t="s">
        <v>49</v>
      </c>
      <c r="G295" t="s">
        <v>40</v>
      </c>
      <c r="H295">
        <v>3</v>
      </c>
      <c r="I295">
        <v>1</v>
      </c>
      <c r="J295" t="s">
        <v>54</v>
      </c>
      <c r="K295" t="s">
        <v>51</v>
      </c>
      <c r="L295">
        <v>4</v>
      </c>
      <c r="M295">
        <v>2</v>
      </c>
      <c r="N295" t="s">
        <v>44</v>
      </c>
      <c r="O295" t="s">
        <v>43</v>
      </c>
      <c r="P295" t="s">
        <v>43</v>
      </c>
      <c r="Q295" t="s">
        <v>44</v>
      </c>
      <c r="R295" t="s">
        <v>44</v>
      </c>
      <c r="S295" t="s">
        <v>44</v>
      </c>
      <c r="T295">
        <v>1</v>
      </c>
      <c r="U295">
        <v>2</v>
      </c>
      <c r="V295">
        <v>1</v>
      </c>
      <c r="W295">
        <v>1</v>
      </c>
      <c r="X295">
        <v>3</v>
      </c>
      <c r="Y295">
        <v>0</v>
      </c>
      <c r="Z295">
        <v>6</v>
      </c>
      <c r="AA295">
        <v>18</v>
      </c>
      <c r="AB295">
        <v>18</v>
      </c>
      <c r="AC295">
        <v>18</v>
      </c>
      <c r="AD295" t="s">
        <v>55</v>
      </c>
      <c r="AE295" t="s">
        <v>56</v>
      </c>
      <c r="AF295" t="s">
        <v>46</v>
      </c>
      <c r="AG295" t="s">
        <v>64</v>
      </c>
      <c r="AH295">
        <v>0</v>
      </c>
      <c r="AI295" t="s">
        <v>58</v>
      </c>
    </row>
    <row r="296" spans="1:35" x14ac:dyDescent="0.25">
      <c r="A296" t="s">
        <v>35</v>
      </c>
      <c r="B296" t="s">
        <v>59</v>
      </c>
      <c r="C296">
        <v>18</v>
      </c>
      <c r="D296" t="s">
        <v>63</v>
      </c>
      <c r="E296" t="s">
        <v>53</v>
      </c>
      <c r="F296" t="s">
        <v>49</v>
      </c>
      <c r="G296" t="s">
        <v>40</v>
      </c>
      <c r="H296">
        <v>3</v>
      </c>
      <c r="I296">
        <v>2</v>
      </c>
      <c r="J296" t="s">
        <v>54</v>
      </c>
      <c r="K296" t="s">
        <v>51</v>
      </c>
      <c r="L296">
        <v>3</v>
      </c>
      <c r="M296">
        <v>2</v>
      </c>
      <c r="N296" t="s">
        <v>44</v>
      </c>
      <c r="O296" t="s">
        <v>43</v>
      </c>
      <c r="P296" t="s">
        <v>43</v>
      </c>
      <c r="Q296" t="s">
        <v>43</v>
      </c>
      <c r="R296" t="s">
        <v>43</v>
      </c>
      <c r="S296" t="s">
        <v>44</v>
      </c>
      <c r="T296">
        <v>4</v>
      </c>
      <c r="U296">
        <v>2</v>
      </c>
      <c r="V296">
        <v>1</v>
      </c>
      <c r="W296">
        <v>1</v>
      </c>
      <c r="X296">
        <v>4</v>
      </c>
      <c r="Y296">
        <v>0</v>
      </c>
      <c r="Z296">
        <v>8</v>
      </c>
      <c r="AA296">
        <v>14</v>
      </c>
      <c r="AB296">
        <v>13</v>
      </c>
      <c r="AC296">
        <v>14</v>
      </c>
      <c r="AD296" t="s">
        <v>55</v>
      </c>
      <c r="AE296" t="s">
        <v>56</v>
      </c>
      <c r="AF296" t="s">
        <v>46</v>
      </c>
      <c r="AG296" t="s">
        <v>57</v>
      </c>
      <c r="AH296">
        <v>0</v>
      </c>
      <c r="AI296" t="s">
        <v>58</v>
      </c>
    </row>
    <row r="297" spans="1:35" x14ac:dyDescent="0.25">
      <c r="A297" t="s">
        <v>35</v>
      </c>
      <c r="B297" t="s">
        <v>59</v>
      </c>
      <c r="C297">
        <v>17</v>
      </c>
      <c r="D297" t="s">
        <v>37</v>
      </c>
      <c r="E297" t="s">
        <v>38</v>
      </c>
      <c r="F297" t="s">
        <v>49</v>
      </c>
      <c r="G297" t="s">
        <v>40</v>
      </c>
      <c r="H297">
        <v>3</v>
      </c>
      <c r="I297">
        <v>3</v>
      </c>
      <c r="J297" t="s">
        <v>23</v>
      </c>
      <c r="K297" t="s">
        <v>51</v>
      </c>
      <c r="L297">
        <v>1</v>
      </c>
      <c r="M297">
        <v>1</v>
      </c>
      <c r="N297" t="s">
        <v>44</v>
      </c>
      <c r="O297" t="s">
        <v>43</v>
      </c>
      <c r="P297" t="s">
        <v>43</v>
      </c>
      <c r="Q297" t="s">
        <v>44</v>
      </c>
      <c r="R297" t="s">
        <v>43</v>
      </c>
      <c r="S297" t="s">
        <v>44</v>
      </c>
      <c r="T297">
        <v>4</v>
      </c>
      <c r="U297">
        <v>3</v>
      </c>
      <c r="V297">
        <v>1</v>
      </c>
      <c r="W297">
        <v>3</v>
      </c>
      <c r="X297">
        <v>5</v>
      </c>
      <c r="Y297">
        <v>0</v>
      </c>
      <c r="Z297">
        <v>4</v>
      </c>
      <c r="AA297">
        <v>14</v>
      </c>
      <c r="AB297">
        <v>12</v>
      </c>
      <c r="AC297">
        <v>11</v>
      </c>
      <c r="AD297" t="s">
        <v>46</v>
      </c>
      <c r="AE297" t="s">
        <v>56</v>
      </c>
      <c r="AF297" t="s">
        <v>52</v>
      </c>
      <c r="AG297" t="s">
        <v>61</v>
      </c>
      <c r="AH297">
        <v>-3</v>
      </c>
      <c r="AI297" t="s">
        <v>60</v>
      </c>
    </row>
    <row r="298" spans="1:35" x14ac:dyDescent="0.25">
      <c r="A298" t="s">
        <v>35</v>
      </c>
      <c r="B298" t="s">
        <v>36</v>
      </c>
      <c r="C298">
        <v>19</v>
      </c>
      <c r="D298" t="s">
        <v>37</v>
      </c>
      <c r="E298" t="s">
        <v>38</v>
      </c>
      <c r="F298" t="s">
        <v>49</v>
      </c>
      <c r="G298" t="s">
        <v>51</v>
      </c>
      <c r="H298">
        <v>4</v>
      </c>
      <c r="I298">
        <v>4</v>
      </c>
      <c r="J298" t="s">
        <v>23</v>
      </c>
      <c r="K298" t="s">
        <v>51</v>
      </c>
      <c r="L298">
        <v>2</v>
      </c>
      <c r="M298">
        <v>2</v>
      </c>
      <c r="N298" t="s">
        <v>44</v>
      </c>
      <c r="O298" t="s">
        <v>43</v>
      </c>
      <c r="P298" t="s">
        <v>43</v>
      </c>
      <c r="Q298" t="s">
        <v>43</v>
      </c>
      <c r="R298" t="s">
        <v>43</v>
      </c>
      <c r="S298" t="s">
        <v>44</v>
      </c>
      <c r="T298">
        <v>3</v>
      </c>
      <c r="U298">
        <v>4</v>
      </c>
      <c r="V298">
        <v>2</v>
      </c>
      <c r="W298">
        <v>3</v>
      </c>
      <c r="X298">
        <v>2</v>
      </c>
      <c r="Y298">
        <v>0</v>
      </c>
      <c r="Z298">
        <v>0</v>
      </c>
      <c r="AA298">
        <v>10</v>
      </c>
      <c r="AB298">
        <v>9</v>
      </c>
      <c r="AC298">
        <v>0</v>
      </c>
      <c r="AD298" t="s">
        <v>45</v>
      </c>
      <c r="AE298" t="s">
        <v>45</v>
      </c>
      <c r="AF298" t="s">
        <v>52</v>
      </c>
      <c r="AG298" t="s">
        <v>47</v>
      </c>
      <c r="AH298">
        <v>-10</v>
      </c>
      <c r="AI298" t="s">
        <v>60</v>
      </c>
    </row>
    <row r="299" spans="1:35" x14ac:dyDescent="0.25">
      <c r="A299" t="s">
        <v>35</v>
      </c>
      <c r="B299" t="s">
        <v>36</v>
      </c>
      <c r="C299">
        <v>18</v>
      </c>
      <c r="D299" t="s">
        <v>37</v>
      </c>
      <c r="E299" t="s">
        <v>53</v>
      </c>
      <c r="F299" t="s">
        <v>49</v>
      </c>
      <c r="G299" t="s">
        <v>51</v>
      </c>
      <c r="H299">
        <v>4</v>
      </c>
      <c r="I299">
        <v>3</v>
      </c>
      <c r="J299" t="s">
        <v>51</v>
      </c>
      <c r="K299" t="s">
        <v>51</v>
      </c>
      <c r="L299">
        <v>2</v>
      </c>
      <c r="M299">
        <v>2</v>
      </c>
      <c r="N299" t="s">
        <v>44</v>
      </c>
      <c r="O299" t="s">
        <v>43</v>
      </c>
      <c r="P299" t="s">
        <v>43</v>
      </c>
      <c r="Q299" t="s">
        <v>44</v>
      </c>
      <c r="R299" t="s">
        <v>43</v>
      </c>
      <c r="S299" t="s">
        <v>43</v>
      </c>
      <c r="T299">
        <v>4</v>
      </c>
      <c r="U299">
        <v>5</v>
      </c>
      <c r="V299">
        <v>1</v>
      </c>
      <c r="W299">
        <v>2</v>
      </c>
      <c r="X299">
        <v>2</v>
      </c>
      <c r="Y299">
        <v>0</v>
      </c>
      <c r="Z299">
        <v>10</v>
      </c>
      <c r="AA299">
        <v>10</v>
      </c>
      <c r="AB299">
        <v>8</v>
      </c>
      <c r="AC299">
        <v>8</v>
      </c>
      <c r="AD299" t="s">
        <v>45</v>
      </c>
      <c r="AE299" t="s">
        <v>45</v>
      </c>
      <c r="AF299" t="s">
        <v>46</v>
      </c>
      <c r="AG299" t="s">
        <v>47</v>
      </c>
      <c r="AH299">
        <v>-2</v>
      </c>
      <c r="AI299" t="s">
        <v>60</v>
      </c>
    </row>
    <row r="300" spans="1:35" x14ac:dyDescent="0.25">
      <c r="A300" t="s">
        <v>35</v>
      </c>
      <c r="B300" t="s">
        <v>36</v>
      </c>
      <c r="C300">
        <v>18</v>
      </c>
      <c r="D300" t="s">
        <v>37</v>
      </c>
      <c r="E300" t="s">
        <v>38</v>
      </c>
      <c r="F300" t="s">
        <v>49</v>
      </c>
      <c r="G300" t="s">
        <v>50</v>
      </c>
      <c r="H300">
        <v>4</v>
      </c>
      <c r="I300">
        <v>3</v>
      </c>
      <c r="J300" t="s">
        <v>51</v>
      </c>
      <c r="K300" t="s">
        <v>51</v>
      </c>
      <c r="L300">
        <v>4</v>
      </c>
      <c r="M300">
        <v>1</v>
      </c>
      <c r="N300" t="s">
        <v>44</v>
      </c>
      <c r="O300" t="s">
        <v>43</v>
      </c>
      <c r="P300" t="s">
        <v>43</v>
      </c>
      <c r="Q300" t="s">
        <v>44</v>
      </c>
      <c r="R300" t="s">
        <v>43</v>
      </c>
      <c r="S300" t="s">
        <v>44</v>
      </c>
      <c r="T300">
        <v>3</v>
      </c>
      <c r="U300">
        <v>3</v>
      </c>
      <c r="V300">
        <v>1</v>
      </c>
      <c r="W300">
        <v>1</v>
      </c>
      <c r="X300">
        <v>3</v>
      </c>
      <c r="Y300">
        <v>0</v>
      </c>
      <c r="Z300">
        <v>0</v>
      </c>
      <c r="AA300">
        <v>14</v>
      </c>
      <c r="AB300">
        <v>13</v>
      </c>
      <c r="AC300">
        <v>14</v>
      </c>
      <c r="AD300" t="s">
        <v>55</v>
      </c>
      <c r="AE300" t="s">
        <v>56</v>
      </c>
      <c r="AF300" t="s">
        <v>52</v>
      </c>
      <c r="AG300" t="s">
        <v>64</v>
      </c>
      <c r="AH300">
        <v>0</v>
      </c>
      <c r="AI300" t="s">
        <v>58</v>
      </c>
    </row>
    <row r="301" spans="1:35" x14ac:dyDescent="0.25">
      <c r="A301" t="s">
        <v>35</v>
      </c>
      <c r="B301" t="s">
        <v>59</v>
      </c>
      <c r="C301">
        <v>18</v>
      </c>
      <c r="D301" t="s">
        <v>37</v>
      </c>
      <c r="E301" t="s">
        <v>53</v>
      </c>
      <c r="F301" t="s">
        <v>49</v>
      </c>
      <c r="G301" t="s">
        <v>40</v>
      </c>
      <c r="H301">
        <v>4</v>
      </c>
      <c r="I301">
        <v>4</v>
      </c>
      <c r="J301" t="s">
        <v>42</v>
      </c>
      <c r="K301" t="s">
        <v>42</v>
      </c>
      <c r="L301">
        <v>1</v>
      </c>
      <c r="M301">
        <v>1</v>
      </c>
      <c r="N301" t="s">
        <v>44</v>
      </c>
      <c r="O301" t="s">
        <v>43</v>
      </c>
      <c r="P301" t="s">
        <v>43</v>
      </c>
      <c r="Q301" t="s">
        <v>44</v>
      </c>
      <c r="R301" t="s">
        <v>43</v>
      </c>
      <c r="S301" t="s">
        <v>43</v>
      </c>
      <c r="T301">
        <v>4</v>
      </c>
      <c r="U301">
        <v>2</v>
      </c>
      <c r="V301">
        <v>2</v>
      </c>
      <c r="W301">
        <v>2</v>
      </c>
      <c r="X301">
        <v>1</v>
      </c>
      <c r="Y301">
        <v>0</v>
      </c>
      <c r="Z301">
        <v>5</v>
      </c>
      <c r="AA301">
        <v>16</v>
      </c>
      <c r="AB301">
        <v>15</v>
      </c>
      <c r="AC301">
        <v>16</v>
      </c>
      <c r="AD301" t="s">
        <v>55</v>
      </c>
      <c r="AE301" t="s">
        <v>56</v>
      </c>
      <c r="AF301" t="s">
        <v>52</v>
      </c>
      <c r="AG301" t="s">
        <v>61</v>
      </c>
      <c r="AH301">
        <v>0</v>
      </c>
      <c r="AI301" t="s">
        <v>58</v>
      </c>
    </row>
    <row r="302" spans="1:35" x14ac:dyDescent="0.25">
      <c r="A302" t="s">
        <v>35</v>
      </c>
      <c r="B302" t="s">
        <v>36</v>
      </c>
      <c r="C302">
        <v>18</v>
      </c>
      <c r="D302" t="s">
        <v>37</v>
      </c>
      <c r="E302" t="s">
        <v>53</v>
      </c>
      <c r="F302" t="s">
        <v>39</v>
      </c>
      <c r="G302" t="s">
        <v>40</v>
      </c>
      <c r="H302">
        <v>4</v>
      </c>
      <c r="I302">
        <v>4</v>
      </c>
      <c r="J302" t="s">
        <v>23</v>
      </c>
      <c r="K302" t="s">
        <v>51</v>
      </c>
      <c r="L302">
        <v>2</v>
      </c>
      <c r="M302">
        <v>1</v>
      </c>
      <c r="N302" t="s">
        <v>44</v>
      </c>
      <c r="O302" t="s">
        <v>43</v>
      </c>
      <c r="P302" t="s">
        <v>44</v>
      </c>
      <c r="Q302" t="s">
        <v>44</v>
      </c>
      <c r="R302" t="s">
        <v>43</v>
      </c>
      <c r="S302" t="s">
        <v>43</v>
      </c>
      <c r="T302">
        <v>2</v>
      </c>
      <c r="U302">
        <v>4</v>
      </c>
      <c r="V302">
        <v>1</v>
      </c>
      <c r="W302">
        <v>1</v>
      </c>
      <c r="X302">
        <v>4</v>
      </c>
      <c r="Y302">
        <v>0</v>
      </c>
      <c r="Z302">
        <v>14</v>
      </c>
      <c r="AA302">
        <v>12</v>
      </c>
      <c r="AB302">
        <v>10</v>
      </c>
      <c r="AC302">
        <v>11</v>
      </c>
      <c r="AD302" t="s">
        <v>46</v>
      </c>
      <c r="AE302" t="s">
        <v>45</v>
      </c>
      <c r="AF302" t="s">
        <v>46</v>
      </c>
      <c r="AG302" t="s">
        <v>47</v>
      </c>
      <c r="AH302">
        <v>-1</v>
      </c>
      <c r="AI302" t="s">
        <v>60</v>
      </c>
    </row>
    <row r="303" spans="1:35" x14ac:dyDescent="0.25">
      <c r="A303" t="s">
        <v>35</v>
      </c>
      <c r="B303" t="s">
        <v>59</v>
      </c>
      <c r="C303">
        <v>17</v>
      </c>
      <c r="D303" t="s">
        <v>37</v>
      </c>
      <c r="E303" t="s">
        <v>53</v>
      </c>
      <c r="F303" t="s">
        <v>49</v>
      </c>
      <c r="G303" t="s">
        <v>50</v>
      </c>
      <c r="H303">
        <v>4</v>
      </c>
      <c r="I303">
        <v>4</v>
      </c>
      <c r="J303" t="s">
        <v>51</v>
      </c>
      <c r="K303" t="s">
        <v>42</v>
      </c>
      <c r="L303">
        <v>1</v>
      </c>
      <c r="M303">
        <v>2</v>
      </c>
      <c r="N303" t="s">
        <v>44</v>
      </c>
      <c r="O303" t="s">
        <v>44</v>
      </c>
      <c r="P303" t="s">
        <v>43</v>
      </c>
      <c r="Q303" t="s">
        <v>44</v>
      </c>
      <c r="R303" t="s">
        <v>43</v>
      </c>
      <c r="S303" t="s">
        <v>44</v>
      </c>
      <c r="T303">
        <v>1</v>
      </c>
      <c r="U303">
        <v>1</v>
      </c>
      <c r="V303">
        <v>2</v>
      </c>
      <c r="W303">
        <v>2</v>
      </c>
      <c r="X303">
        <v>5</v>
      </c>
      <c r="Y303">
        <v>0</v>
      </c>
      <c r="Z303">
        <v>0</v>
      </c>
      <c r="AA303">
        <v>11</v>
      </c>
      <c r="AB303">
        <v>11</v>
      </c>
      <c r="AC303">
        <v>10</v>
      </c>
      <c r="AD303" t="s">
        <v>46</v>
      </c>
      <c r="AE303" t="s">
        <v>56</v>
      </c>
      <c r="AF303" t="s">
        <v>52</v>
      </c>
      <c r="AG303" t="s">
        <v>61</v>
      </c>
      <c r="AH303">
        <v>-1</v>
      </c>
      <c r="AI303" t="s">
        <v>60</v>
      </c>
    </row>
    <row r="304" spans="1:35" x14ac:dyDescent="0.25">
      <c r="A304" t="s">
        <v>35</v>
      </c>
      <c r="B304" t="s">
        <v>36</v>
      </c>
      <c r="C304">
        <v>17</v>
      </c>
      <c r="D304" t="s">
        <v>37</v>
      </c>
      <c r="E304" t="s">
        <v>38</v>
      </c>
      <c r="F304" t="s">
        <v>49</v>
      </c>
      <c r="G304" t="s">
        <v>40</v>
      </c>
      <c r="H304">
        <v>4</v>
      </c>
      <c r="I304">
        <v>2</v>
      </c>
      <c r="J304" t="s">
        <v>51</v>
      </c>
      <c r="K304" t="s">
        <v>51</v>
      </c>
      <c r="L304">
        <v>3</v>
      </c>
      <c r="M304">
        <v>2</v>
      </c>
      <c r="N304" t="s">
        <v>44</v>
      </c>
      <c r="O304" t="s">
        <v>43</v>
      </c>
      <c r="P304" t="s">
        <v>43</v>
      </c>
      <c r="Q304" t="s">
        <v>44</v>
      </c>
      <c r="R304" t="s">
        <v>43</v>
      </c>
      <c r="S304" t="s">
        <v>44</v>
      </c>
      <c r="T304">
        <v>3</v>
      </c>
      <c r="U304">
        <v>3</v>
      </c>
      <c r="V304">
        <v>1</v>
      </c>
      <c r="W304">
        <v>1</v>
      </c>
      <c r="X304">
        <v>3</v>
      </c>
      <c r="Y304">
        <v>0</v>
      </c>
      <c r="Z304">
        <v>0</v>
      </c>
      <c r="AA304">
        <v>15</v>
      </c>
      <c r="AB304">
        <v>12</v>
      </c>
      <c r="AC304">
        <v>14</v>
      </c>
      <c r="AD304" t="s">
        <v>55</v>
      </c>
      <c r="AE304" t="s">
        <v>56</v>
      </c>
      <c r="AF304" t="s">
        <v>52</v>
      </c>
      <c r="AG304" t="s">
        <v>57</v>
      </c>
      <c r="AH304">
        <v>-1</v>
      </c>
      <c r="AI304" t="s">
        <v>60</v>
      </c>
    </row>
    <row r="305" spans="1:35" x14ac:dyDescent="0.25">
      <c r="A305" t="s">
        <v>35</v>
      </c>
      <c r="B305" t="s">
        <v>36</v>
      </c>
      <c r="C305">
        <v>17</v>
      </c>
      <c r="D305" t="s">
        <v>37</v>
      </c>
      <c r="E305" t="s">
        <v>38</v>
      </c>
      <c r="F305" t="s">
        <v>49</v>
      </c>
      <c r="G305" t="s">
        <v>50</v>
      </c>
      <c r="H305">
        <v>3</v>
      </c>
      <c r="I305">
        <v>2</v>
      </c>
      <c r="J305" t="s">
        <v>23</v>
      </c>
      <c r="K305" t="s">
        <v>23</v>
      </c>
      <c r="L305">
        <v>4</v>
      </c>
      <c r="M305">
        <v>1</v>
      </c>
      <c r="N305" t="s">
        <v>44</v>
      </c>
      <c r="O305" t="s">
        <v>43</v>
      </c>
      <c r="P305" t="s">
        <v>43</v>
      </c>
      <c r="Q305" t="s">
        <v>43</v>
      </c>
      <c r="R305" t="s">
        <v>43</v>
      </c>
      <c r="S305" t="s">
        <v>44</v>
      </c>
      <c r="T305">
        <v>2</v>
      </c>
      <c r="U305">
        <v>2</v>
      </c>
      <c r="V305">
        <v>1</v>
      </c>
      <c r="W305">
        <v>2</v>
      </c>
      <c r="X305">
        <v>5</v>
      </c>
      <c r="Y305">
        <v>0</v>
      </c>
      <c r="Z305">
        <v>0</v>
      </c>
      <c r="AA305">
        <v>17</v>
      </c>
      <c r="AB305">
        <v>17</v>
      </c>
      <c r="AC305">
        <v>18</v>
      </c>
      <c r="AD305" t="s">
        <v>55</v>
      </c>
      <c r="AE305" t="s">
        <v>56</v>
      </c>
      <c r="AF305" t="s">
        <v>52</v>
      </c>
      <c r="AG305" t="s">
        <v>64</v>
      </c>
      <c r="AH305">
        <v>1</v>
      </c>
      <c r="AI305" t="s">
        <v>48</v>
      </c>
    </row>
    <row r="306" spans="1:35" x14ac:dyDescent="0.25">
      <c r="A306" t="s">
        <v>35</v>
      </c>
      <c r="B306" t="s">
        <v>59</v>
      </c>
      <c r="C306">
        <v>19</v>
      </c>
      <c r="D306" t="s">
        <v>37</v>
      </c>
      <c r="E306" t="s">
        <v>38</v>
      </c>
      <c r="F306" t="s">
        <v>49</v>
      </c>
      <c r="G306" t="s">
        <v>51</v>
      </c>
      <c r="H306">
        <v>3</v>
      </c>
      <c r="I306">
        <v>3</v>
      </c>
      <c r="J306" t="s">
        <v>51</v>
      </c>
      <c r="K306" t="s">
        <v>51</v>
      </c>
      <c r="L306">
        <v>2</v>
      </c>
      <c r="M306">
        <v>1</v>
      </c>
      <c r="N306" t="s">
        <v>44</v>
      </c>
      <c r="O306" t="s">
        <v>43</v>
      </c>
      <c r="P306" t="s">
        <v>44</v>
      </c>
      <c r="Q306" t="s">
        <v>43</v>
      </c>
      <c r="R306" t="s">
        <v>43</v>
      </c>
      <c r="S306" t="s">
        <v>43</v>
      </c>
      <c r="T306">
        <v>4</v>
      </c>
      <c r="U306">
        <v>4</v>
      </c>
      <c r="V306">
        <v>1</v>
      </c>
      <c r="W306">
        <v>1</v>
      </c>
      <c r="X306">
        <v>3</v>
      </c>
      <c r="Y306">
        <v>1</v>
      </c>
      <c r="Z306">
        <v>20</v>
      </c>
      <c r="AA306">
        <v>15</v>
      </c>
      <c r="AB306">
        <v>14</v>
      </c>
      <c r="AC306">
        <v>13</v>
      </c>
      <c r="AD306" t="s">
        <v>46</v>
      </c>
      <c r="AE306" t="s">
        <v>45</v>
      </c>
      <c r="AF306" t="s">
        <v>62</v>
      </c>
      <c r="AG306" t="s">
        <v>47</v>
      </c>
      <c r="AH306">
        <v>-2</v>
      </c>
      <c r="AI306" t="s">
        <v>60</v>
      </c>
    </row>
    <row r="307" spans="1:35" x14ac:dyDescent="0.25">
      <c r="A307" t="s">
        <v>35</v>
      </c>
      <c r="B307" t="s">
        <v>36</v>
      </c>
      <c r="C307">
        <v>18</v>
      </c>
      <c r="D307" t="s">
        <v>37</v>
      </c>
      <c r="E307" t="s">
        <v>38</v>
      </c>
      <c r="F307" t="s">
        <v>49</v>
      </c>
      <c r="G307" t="s">
        <v>51</v>
      </c>
      <c r="H307">
        <v>2</v>
      </c>
      <c r="I307">
        <v>4</v>
      </c>
      <c r="J307" t="s">
        <v>54</v>
      </c>
      <c r="K307" t="s">
        <v>41</v>
      </c>
      <c r="L307">
        <v>2</v>
      </c>
      <c r="M307">
        <v>1</v>
      </c>
      <c r="N307" t="s">
        <v>44</v>
      </c>
      <c r="O307" t="s">
        <v>43</v>
      </c>
      <c r="P307" t="s">
        <v>43</v>
      </c>
      <c r="Q307" t="s">
        <v>43</v>
      </c>
      <c r="R307" t="s">
        <v>43</v>
      </c>
      <c r="S307" t="s">
        <v>44</v>
      </c>
      <c r="T307">
        <v>4</v>
      </c>
      <c r="U307">
        <v>3</v>
      </c>
      <c r="V307">
        <v>1</v>
      </c>
      <c r="W307">
        <v>1</v>
      </c>
      <c r="X307">
        <v>3</v>
      </c>
      <c r="Y307">
        <v>1</v>
      </c>
      <c r="Z307">
        <v>8</v>
      </c>
      <c r="AA307">
        <v>14</v>
      </c>
      <c r="AB307">
        <v>12</v>
      </c>
      <c r="AC307">
        <v>12</v>
      </c>
      <c r="AD307" t="s">
        <v>46</v>
      </c>
      <c r="AE307" t="s">
        <v>45</v>
      </c>
      <c r="AF307" t="s">
        <v>46</v>
      </c>
      <c r="AG307" t="s">
        <v>47</v>
      </c>
      <c r="AH307">
        <v>-2</v>
      </c>
      <c r="AI307" t="s">
        <v>60</v>
      </c>
    </row>
    <row r="308" spans="1:35" x14ac:dyDescent="0.25">
      <c r="A308" t="s">
        <v>35</v>
      </c>
      <c r="B308" t="s">
        <v>59</v>
      </c>
      <c r="C308">
        <v>20</v>
      </c>
      <c r="D308" t="s">
        <v>37</v>
      </c>
      <c r="E308" t="s">
        <v>38</v>
      </c>
      <c r="F308" t="s">
        <v>39</v>
      </c>
      <c r="G308" t="s">
        <v>51</v>
      </c>
      <c r="H308">
        <v>3</v>
      </c>
      <c r="I308">
        <v>2</v>
      </c>
      <c r="J308" t="s">
        <v>54</v>
      </c>
      <c r="K308" t="s">
        <v>51</v>
      </c>
      <c r="L308">
        <v>1</v>
      </c>
      <c r="M308">
        <v>1</v>
      </c>
      <c r="N308" t="s">
        <v>44</v>
      </c>
      <c r="O308" t="s">
        <v>44</v>
      </c>
      <c r="P308" t="s">
        <v>44</v>
      </c>
      <c r="Q308" t="s">
        <v>43</v>
      </c>
      <c r="R308" t="s">
        <v>44</v>
      </c>
      <c r="S308" t="s">
        <v>44</v>
      </c>
      <c r="T308">
        <v>5</v>
      </c>
      <c r="U308">
        <v>3</v>
      </c>
      <c r="V308">
        <v>1</v>
      </c>
      <c r="W308">
        <v>1</v>
      </c>
      <c r="X308">
        <v>5</v>
      </c>
      <c r="Y308">
        <v>0</v>
      </c>
      <c r="Z308">
        <v>0</v>
      </c>
      <c r="AA308">
        <v>17</v>
      </c>
      <c r="AB308">
        <v>18</v>
      </c>
      <c r="AC308">
        <v>18</v>
      </c>
      <c r="AD308" t="s">
        <v>55</v>
      </c>
      <c r="AE308" t="s">
        <v>56</v>
      </c>
      <c r="AF308" t="s">
        <v>52</v>
      </c>
      <c r="AG308" t="s">
        <v>61</v>
      </c>
      <c r="AH308">
        <v>1</v>
      </c>
      <c r="AI308" t="s">
        <v>48</v>
      </c>
    </row>
    <row r="309" spans="1:35" x14ac:dyDescent="0.25">
      <c r="A309" t="s">
        <v>35</v>
      </c>
      <c r="B309" t="s">
        <v>59</v>
      </c>
      <c r="C309">
        <v>19</v>
      </c>
      <c r="D309" t="s">
        <v>37</v>
      </c>
      <c r="E309" t="s">
        <v>38</v>
      </c>
      <c r="F309" t="s">
        <v>49</v>
      </c>
      <c r="G309" t="s">
        <v>51</v>
      </c>
      <c r="H309">
        <v>4</v>
      </c>
      <c r="I309">
        <v>4</v>
      </c>
      <c r="J309" t="s">
        <v>42</v>
      </c>
      <c r="K309" t="s">
        <v>54</v>
      </c>
      <c r="L309">
        <v>1</v>
      </c>
      <c r="M309">
        <v>2</v>
      </c>
      <c r="N309" t="s">
        <v>44</v>
      </c>
      <c r="O309" t="s">
        <v>43</v>
      </c>
      <c r="P309" t="s">
        <v>43</v>
      </c>
      <c r="Q309" t="s">
        <v>44</v>
      </c>
      <c r="R309" t="s">
        <v>43</v>
      </c>
      <c r="S309" t="s">
        <v>43</v>
      </c>
      <c r="T309">
        <v>3</v>
      </c>
      <c r="U309">
        <v>4</v>
      </c>
      <c r="V309">
        <v>1</v>
      </c>
      <c r="W309">
        <v>1</v>
      </c>
      <c r="X309">
        <v>4</v>
      </c>
      <c r="Y309">
        <v>1</v>
      </c>
      <c r="Z309">
        <v>38</v>
      </c>
      <c r="AA309">
        <v>8</v>
      </c>
      <c r="AB309">
        <v>9</v>
      </c>
      <c r="AC309">
        <v>8</v>
      </c>
      <c r="AD309" t="s">
        <v>45</v>
      </c>
      <c r="AE309" t="s">
        <v>45</v>
      </c>
      <c r="AF309" t="s">
        <v>62</v>
      </c>
      <c r="AG309" t="s">
        <v>61</v>
      </c>
      <c r="AH309">
        <v>0</v>
      </c>
      <c r="AI309" t="s">
        <v>58</v>
      </c>
    </row>
    <row r="310" spans="1:35" x14ac:dyDescent="0.25">
      <c r="A310" t="s">
        <v>35</v>
      </c>
      <c r="B310" t="s">
        <v>59</v>
      </c>
      <c r="C310">
        <v>19</v>
      </c>
      <c r="D310" t="s">
        <v>63</v>
      </c>
      <c r="E310" t="s">
        <v>38</v>
      </c>
      <c r="F310" t="s">
        <v>49</v>
      </c>
      <c r="G310" t="s">
        <v>50</v>
      </c>
      <c r="H310">
        <v>3</v>
      </c>
      <c r="I310">
        <v>3</v>
      </c>
      <c r="J310" t="s">
        <v>51</v>
      </c>
      <c r="K310" t="s">
        <v>54</v>
      </c>
      <c r="L310">
        <v>2</v>
      </c>
      <c r="M310">
        <v>1</v>
      </c>
      <c r="N310" t="s">
        <v>44</v>
      </c>
      <c r="O310" t="s">
        <v>44</v>
      </c>
      <c r="P310" t="s">
        <v>44</v>
      </c>
      <c r="Q310" t="s">
        <v>43</v>
      </c>
      <c r="R310" t="s">
        <v>44</v>
      </c>
      <c r="S310" t="s">
        <v>43</v>
      </c>
      <c r="T310">
        <v>5</v>
      </c>
      <c r="U310">
        <v>3</v>
      </c>
      <c r="V310">
        <v>1</v>
      </c>
      <c r="W310">
        <v>2</v>
      </c>
      <c r="X310">
        <v>5</v>
      </c>
      <c r="Y310">
        <v>1</v>
      </c>
      <c r="Z310">
        <v>0</v>
      </c>
      <c r="AA310">
        <v>15</v>
      </c>
      <c r="AB310">
        <v>12</v>
      </c>
      <c r="AC310">
        <v>12</v>
      </c>
      <c r="AD310" t="s">
        <v>46</v>
      </c>
      <c r="AE310" t="s">
        <v>45</v>
      </c>
      <c r="AF310" t="s">
        <v>52</v>
      </c>
      <c r="AG310" t="s">
        <v>47</v>
      </c>
      <c r="AH310">
        <v>-3</v>
      </c>
      <c r="AI310" t="s">
        <v>60</v>
      </c>
    </row>
    <row r="311" spans="1:35" x14ac:dyDescent="0.25">
      <c r="A311" t="s">
        <v>35</v>
      </c>
      <c r="B311" t="s">
        <v>36</v>
      </c>
      <c r="C311">
        <v>19</v>
      </c>
      <c r="D311" t="s">
        <v>37</v>
      </c>
      <c r="E311" t="s">
        <v>53</v>
      </c>
      <c r="F311" t="s">
        <v>49</v>
      </c>
      <c r="G311" t="s">
        <v>51</v>
      </c>
      <c r="H311">
        <v>1</v>
      </c>
      <c r="I311">
        <v>1</v>
      </c>
      <c r="J311" t="s">
        <v>41</v>
      </c>
      <c r="K311" t="s">
        <v>51</v>
      </c>
      <c r="L311">
        <v>2</v>
      </c>
      <c r="M311">
        <v>1</v>
      </c>
      <c r="N311" t="s">
        <v>43</v>
      </c>
      <c r="O311" t="s">
        <v>43</v>
      </c>
      <c r="P311" t="s">
        <v>44</v>
      </c>
      <c r="Q311" t="s">
        <v>43</v>
      </c>
      <c r="R311" t="s">
        <v>43</v>
      </c>
      <c r="S311" t="s">
        <v>44</v>
      </c>
      <c r="T311">
        <v>4</v>
      </c>
      <c r="U311">
        <v>3</v>
      </c>
      <c r="V311">
        <v>1</v>
      </c>
      <c r="W311">
        <v>3</v>
      </c>
      <c r="X311">
        <v>3</v>
      </c>
      <c r="Y311">
        <v>1</v>
      </c>
      <c r="Z311">
        <v>18</v>
      </c>
      <c r="AA311">
        <v>12</v>
      </c>
      <c r="AB311">
        <v>10</v>
      </c>
      <c r="AC311">
        <v>10</v>
      </c>
      <c r="AD311" t="s">
        <v>46</v>
      </c>
      <c r="AE311" t="s">
        <v>45</v>
      </c>
      <c r="AF311" t="s">
        <v>62</v>
      </c>
      <c r="AG311" t="s">
        <v>47</v>
      </c>
      <c r="AH311">
        <v>-2</v>
      </c>
      <c r="AI311" t="s">
        <v>60</v>
      </c>
    </row>
    <row r="312" spans="1:35" x14ac:dyDescent="0.25">
      <c r="A312" t="s">
        <v>35</v>
      </c>
      <c r="B312" t="s">
        <v>36</v>
      </c>
      <c r="C312">
        <v>19</v>
      </c>
      <c r="D312" t="s">
        <v>37</v>
      </c>
      <c r="E312" t="s">
        <v>53</v>
      </c>
      <c r="F312" t="s">
        <v>49</v>
      </c>
      <c r="G312" t="s">
        <v>51</v>
      </c>
      <c r="H312">
        <v>1</v>
      </c>
      <c r="I312">
        <v>2</v>
      </c>
      <c r="J312" t="s">
        <v>54</v>
      </c>
      <c r="K312" t="s">
        <v>54</v>
      </c>
      <c r="L312">
        <v>2</v>
      </c>
      <c r="M312">
        <v>1</v>
      </c>
      <c r="N312" t="s">
        <v>44</v>
      </c>
      <c r="O312" t="s">
        <v>44</v>
      </c>
      <c r="P312" t="s">
        <v>44</v>
      </c>
      <c r="Q312" t="s">
        <v>43</v>
      </c>
      <c r="R312" t="s">
        <v>44</v>
      </c>
      <c r="S312" t="s">
        <v>43</v>
      </c>
      <c r="T312">
        <v>2</v>
      </c>
      <c r="U312">
        <v>4</v>
      </c>
      <c r="V312">
        <v>2</v>
      </c>
      <c r="W312">
        <v>2</v>
      </c>
      <c r="X312">
        <v>3</v>
      </c>
      <c r="Y312">
        <v>1</v>
      </c>
      <c r="Z312">
        <v>0</v>
      </c>
      <c r="AA312">
        <v>9</v>
      </c>
      <c r="AB312">
        <v>9</v>
      </c>
      <c r="AC312">
        <v>0</v>
      </c>
      <c r="AD312" t="s">
        <v>45</v>
      </c>
      <c r="AE312" t="s">
        <v>45</v>
      </c>
      <c r="AF312" t="s">
        <v>52</v>
      </c>
      <c r="AG312" t="s">
        <v>47</v>
      </c>
      <c r="AH312">
        <v>-9</v>
      </c>
      <c r="AI312" t="s">
        <v>60</v>
      </c>
    </row>
    <row r="313" spans="1:35" x14ac:dyDescent="0.25">
      <c r="A313" t="s">
        <v>35</v>
      </c>
      <c r="B313" t="s">
        <v>36</v>
      </c>
      <c r="C313">
        <v>19</v>
      </c>
      <c r="D313" t="s">
        <v>37</v>
      </c>
      <c r="E313" t="s">
        <v>38</v>
      </c>
      <c r="F313" t="s">
        <v>49</v>
      </c>
      <c r="G313" t="s">
        <v>51</v>
      </c>
      <c r="H313">
        <v>2</v>
      </c>
      <c r="I313">
        <v>1</v>
      </c>
      <c r="J313" t="s">
        <v>41</v>
      </c>
      <c r="K313" t="s">
        <v>51</v>
      </c>
      <c r="L313">
        <v>2</v>
      </c>
      <c r="M313">
        <v>3</v>
      </c>
      <c r="N313" t="s">
        <v>44</v>
      </c>
      <c r="O313" t="s">
        <v>43</v>
      </c>
      <c r="P313" t="s">
        <v>44</v>
      </c>
      <c r="Q313" t="s">
        <v>44</v>
      </c>
      <c r="R313" t="s">
        <v>43</v>
      </c>
      <c r="S313" t="s">
        <v>43</v>
      </c>
      <c r="T313">
        <v>4</v>
      </c>
      <c r="U313">
        <v>1</v>
      </c>
      <c r="V313">
        <v>1</v>
      </c>
      <c r="W313">
        <v>1</v>
      </c>
      <c r="X313">
        <v>2</v>
      </c>
      <c r="Y313">
        <v>0</v>
      </c>
      <c r="Z313">
        <v>20</v>
      </c>
      <c r="AA313">
        <v>14</v>
      </c>
      <c r="AB313">
        <v>12</v>
      </c>
      <c r="AC313">
        <v>13</v>
      </c>
      <c r="AD313" t="s">
        <v>46</v>
      </c>
      <c r="AE313" t="s">
        <v>45</v>
      </c>
      <c r="AF313" t="s">
        <v>62</v>
      </c>
      <c r="AG313" t="s">
        <v>47</v>
      </c>
      <c r="AH313">
        <v>-1</v>
      </c>
      <c r="AI313" t="s">
        <v>60</v>
      </c>
    </row>
    <row r="314" spans="1:35" x14ac:dyDescent="0.25">
      <c r="A314" t="s">
        <v>35</v>
      </c>
      <c r="B314" t="s">
        <v>59</v>
      </c>
      <c r="C314">
        <v>19</v>
      </c>
      <c r="D314" t="s">
        <v>37</v>
      </c>
      <c r="E314" t="s">
        <v>38</v>
      </c>
      <c r="F314" t="s">
        <v>49</v>
      </c>
      <c r="G314" t="s">
        <v>51</v>
      </c>
      <c r="H314">
        <v>1</v>
      </c>
      <c r="I314">
        <v>2</v>
      </c>
      <c r="J314" t="s">
        <v>51</v>
      </c>
      <c r="K314" t="s">
        <v>54</v>
      </c>
      <c r="L314">
        <v>2</v>
      </c>
      <c r="M314">
        <v>1</v>
      </c>
      <c r="N314" t="s">
        <v>44</v>
      </c>
      <c r="O314" t="s">
        <v>44</v>
      </c>
      <c r="P314" t="s">
        <v>44</v>
      </c>
      <c r="Q314" t="s">
        <v>44</v>
      </c>
      <c r="R314" t="s">
        <v>43</v>
      </c>
      <c r="S314" t="s">
        <v>44</v>
      </c>
      <c r="T314">
        <v>5</v>
      </c>
      <c r="U314">
        <v>2</v>
      </c>
      <c r="V314">
        <v>2</v>
      </c>
      <c r="W314">
        <v>2</v>
      </c>
      <c r="X314">
        <v>4</v>
      </c>
      <c r="Y314">
        <v>1</v>
      </c>
      <c r="Z314">
        <v>3</v>
      </c>
      <c r="AA314">
        <v>13</v>
      </c>
      <c r="AB314">
        <v>11</v>
      </c>
      <c r="AC314">
        <v>11</v>
      </c>
      <c r="AD314" t="s">
        <v>46</v>
      </c>
      <c r="AE314" t="s">
        <v>45</v>
      </c>
      <c r="AF314" t="s">
        <v>52</v>
      </c>
      <c r="AG314" t="s">
        <v>47</v>
      </c>
      <c r="AH314">
        <v>-2</v>
      </c>
      <c r="AI314" t="s">
        <v>60</v>
      </c>
    </row>
    <row r="315" spans="1:35" x14ac:dyDescent="0.25">
      <c r="A315" t="s">
        <v>35</v>
      </c>
      <c r="B315" t="s">
        <v>36</v>
      </c>
      <c r="C315">
        <v>19</v>
      </c>
      <c r="D315" t="s">
        <v>37</v>
      </c>
      <c r="E315" t="s">
        <v>53</v>
      </c>
      <c r="F315" t="s">
        <v>49</v>
      </c>
      <c r="G315" t="s">
        <v>51</v>
      </c>
      <c r="H315">
        <v>3</v>
      </c>
      <c r="I315">
        <v>2</v>
      </c>
      <c r="J315" t="s">
        <v>54</v>
      </c>
      <c r="K315" t="s">
        <v>51</v>
      </c>
      <c r="L315">
        <v>2</v>
      </c>
      <c r="M315">
        <v>2</v>
      </c>
      <c r="N315" t="s">
        <v>44</v>
      </c>
      <c r="O315" t="s">
        <v>43</v>
      </c>
      <c r="P315" t="s">
        <v>43</v>
      </c>
      <c r="Q315" t="s">
        <v>44</v>
      </c>
      <c r="R315" t="s">
        <v>43</v>
      </c>
      <c r="S315" t="s">
        <v>43</v>
      </c>
      <c r="T315">
        <v>2</v>
      </c>
      <c r="U315">
        <v>2</v>
      </c>
      <c r="V315">
        <v>1</v>
      </c>
      <c r="W315">
        <v>2</v>
      </c>
      <c r="X315">
        <v>1</v>
      </c>
      <c r="Y315">
        <v>1</v>
      </c>
      <c r="Z315">
        <v>22</v>
      </c>
      <c r="AA315">
        <v>13</v>
      </c>
      <c r="AB315">
        <v>10</v>
      </c>
      <c r="AC315">
        <v>11</v>
      </c>
      <c r="AD315" t="s">
        <v>46</v>
      </c>
      <c r="AE315" t="s">
        <v>45</v>
      </c>
      <c r="AF315" t="s">
        <v>62</v>
      </c>
      <c r="AG315" t="s">
        <v>47</v>
      </c>
      <c r="AH315">
        <v>-2</v>
      </c>
      <c r="AI315" t="s">
        <v>60</v>
      </c>
    </row>
    <row r="316" spans="1:35" x14ac:dyDescent="0.25">
      <c r="A316" t="s">
        <v>35</v>
      </c>
      <c r="B316" t="s">
        <v>36</v>
      </c>
      <c r="C316">
        <v>19</v>
      </c>
      <c r="D316" t="s">
        <v>37</v>
      </c>
      <c r="E316" t="s">
        <v>38</v>
      </c>
      <c r="F316" t="s">
        <v>49</v>
      </c>
      <c r="G316" t="s">
        <v>51</v>
      </c>
      <c r="H316">
        <v>1</v>
      </c>
      <c r="I316">
        <v>1</v>
      </c>
      <c r="J316" t="s">
        <v>41</v>
      </c>
      <c r="K316" t="s">
        <v>23</v>
      </c>
      <c r="L316">
        <v>3</v>
      </c>
      <c r="M316">
        <v>1</v>
      </c>
      <c r="N316" t="s">
        <v>44</v>
      </c>
      <c r="O316" t="s">
        <v>44</v>
      </c>
      <c r="P316" t="s">
        <v>44</v>
      </c>
      <c r="Q316" t="s">
        <v>44</v>
      </c>
      <c r="R316" t="s">
        <v>43</v>
      </c>
      <c r="S316" t="s">
        <v>43</v>
      </c>
      <c r="T316">
        <v>1</v>
      </c>
      <c r="U316">
        <v>2</v>
      </c>
      <c r="V316">
        <v>1</v>
      </c>
      <c r="W316">
        <v>1</v>
      </c>
      <c r="X316">
        <v>3</v>
      </c>
      <c r="Y316">
        <v>2</v>
      </c>
      <c r="Z316">
        <v>14</v>
      </c>
      <c r="AA316">
        <v>15</v>
      </c>
      <c r="AB316">
        <v>13</v>
      </c>
      <c r="AC316">
        <v>13</v>
      </c>
      <c r="AD316" t="s">
        <v>46</v>
      </c>
      <c r="AE316" t="s">
        <v>45</v>
      </c>
      <c r="AF316" t="s">
        <v>46</v>
      </c>
      <c r="AG316" t="s">
        <v>57</v>
      </c>
      <c r="AH316">
        <v>-2</v>
      </c>
      <c r="AI316" t="s">
        <v>60</v>
      </c>
    </row>
    <row r="317" spans="1:35" x14ac:dyDescent="0.25">
      <c r="A317" t="s">
        <v>35</v>
      </c>
      <c r="B317" t="s">
        <v>36</v>
      </c>
      <c r="C317">
        <v>19</v>
      </c>
      <c r="D317" t="s">
        <v>63</v>
      </c>
      <c r="E317" t="s">
        <v>38</v>
      </c>
      <c r="F317" t="s">
        <v>49</v>
      </c>
      <c r="G317" t="s">
        <v>51</v>
      </c>
      <c r="H317">
        <v>2</v>
      </c>
      <c r="I317">
        <v>3</v>
      </c>
      <c r="J317" t="s">
        <v>51</v>
      </c>
      <c r="K317" t="s">
        <v>51</v>
      </c>
      <c r="L317">
        <v>3</v>
      </c>
      <c r="M317">
        <v>1</v>
      </c>
      <c r="N317" t="s">
        <v>44</v>
      </c>
      <c r="O317" t="s">
        <v>44</v>
      </c>
      <c r="P317" t="s">
        <v>44</v>
      </c>
      <c r="Q317" t="s">
        <v>44</v>
      </c>
      <c r="R317" t="s">
        <v>43</v>
      </c>
      <c r="S317" t="s">
        <v>43</v>
      </c>
      <c r="T317">
        <v>1</v>
      </c>
      <c r="U317">
        <v>2</v>
      </c>
      <c r="V317">
        <v>1</v>
      </c>
      <c r="W317">
        <v>1</v>
      </c>
      <c r="X317">
        <v>3</v>
      </c>
      <c r="Y317">
        <v>1</v>
      </c>
      <c r="Z317">
        <v>40</v>
      </c>
      <c r="AA317">
        <v>13</v>
      </c>
      <c r="AB317">
        <v>11</v>
      </c>
      <c r="AC317">
        <v>11</v>
      </c>
      <c r="AD317" t="s">
        <v>46</v>
      </c>
      <c r="AE317" t="s">
        <v>45</v>
      </c>
      <c r="AF317" t="s">
        <v>62</v>
      </c>
      <c r="AG317" t="s">
        <v>57</v>
      </c>
      <c r="AH317">
        <v>-2</v>
      </c>
      <c r="AI317" t="s">
        <v>60</v>
      </c>
    </row>
    <row r="318" spans="1:35" x14ac:dyDescent="0.25">
      <c r="A318" t="s">
        <v>35</v>
      </c>
      <c r="B318" t="s">
        <v>36</v>
      </c>
      <c r="C318">
        <v>18</v>
      </c>
      <c r="D318" t="s">
        <v>37</v>
      </c>
      <c r="E318" t="s">
        <v>38</v>
      </c>
      <c r="F318" t="s">
        <v>49</v>
      </c>
      <c r="G318" t="s">
        <v>40</v>
      </c>
      <c r="H318">
        <v>2</v>
      </c>
      <c r="I318">
        <v>1</v>
      </c>
      <c r="J318" t="s">
        <v>54</v>
      </c>
      <c r="K318" t="s">
        <v>51</v>
      </c>
      <c r="L318">
        <v>2</v>
      </c>
      <c r="M318">
        <v>2</v>
      </c>
      <c r="N318" t="s">
        <v>44</v>
      </c>
      <c r="O318" t="s">
        <v>43</v>
      </c>
      <c r="P318" t="s">
        <v>43</v>
      </c>
      <c r="Q318" t="s">
        <v>43</v>
      </c>
      <c r="R318" t="s">
        <v>43</v>
      </c>
      <c r="S318" t="s">
        <v>44</v>
      </c>
      <c r="T318">
        <v>3</v>
      </c>
      <c r="U318">
        <v>3</v>
      </c>
      <c r="V318">
        <v>1</v>
      </c>
      <c r="W318">
        <v>2</v>
      </c>
      <c r="X318">
        <v>1</v>
      </c>
      <c r="Y318">
        <v>0</v>
      </c>
      <c r="Z318">
        <v>0</v>
      </c>
      <c r="AA318">
        <v>8</v>
      </c>
      <c r="AB318">
        <v>8</v>
      </c>
      <c r="AC318">
        <v>0</v>
      </c>
      <c r="AD318" t="s">
        <v>45</v>
      </c>
      <c r="AE318" t="s">
        <v>45</v>
      </c>
      <c r="AF318" t="s">
        <v>52</v>
      </c>
      <c r="AG318" t="s">
        <v>47</v>
      </c>
      <c r="AH318">
        <v>-8</v>
      </c>
      <c r="AI318" t="s">
        <v>60</v>
      </c>
    </row>
    <row r="319" spans="1:35" x14ac:dyDescent="0.25">
      <c r="A319" t="s">
        <v>35</v>
      </c>
      <c r="B319" t="s">
        <v>36</v>
      </c>
      <c r="C319">
        <v>18</v>
      </c>
      <c r="D319" t="s">
        <v>37</v>
      </c>
      <c r="E319" t="s">
        <v>38</v>
      </c>
      <c r="F319" t="s">
        <v>49</v>
      </c>
      <c r="G319" t="s">
        <v>40</v>
      </c>
      <c r="H319">
        <v>4</v>
      </c>
      <c r="I319">
        <v>3</v>
      </c>
      <c r="J319" t="s">
        <v>51</v>
      </c>
      <c r="K319" t="s">
        <v>51</v>
      </c>
      <c r="L319">
        <v>3</v>
      </c>
      <c r="M319">
        <v>1</v>
      </c>
      <c r="N319" t="s">
        <v>44</v>
      </c>
      <c r="O319" t="s">
        <v>43</v>
      </c>
      <c r="P319" t="s">
        <v>43</v>
      </c>
      <c r="Q319" t="s">
        <v>43</v>
      </c>
      <c r="R319" t="s">
        <v>43</v>
      </c>
      <c r="S319" t="s">
        <v>43</v>
      </c>
      <c r="T319">
        <v>3</v>
      </c>
      <c r="U319">
        <v>4</v>
      </c>
      <c r="V319">
        <v>1</v>
      </c>
      <c r="W319">
        <v>1</v>
      </c>
      <c r="X319">
        <v>5</v>
      </c>
      <c r="Y319">
        <v>0</v>
      </c>
      <c r="Z319">
        <v>9</v>
      </c>
      <c r="AA319">
        <v>9</v>
      </c>
      <c r="AB319">
        <v>10</v>
      </c>
      <c r="AC319">
        <v>9</v>
      </c>
      <c r="AD319" t="s">
        <v>45</v>
      </c>
      <c r="AE319" t="s">
        <v>45</v>
      </c>
      <c r="AF319" t="s">
        <v>46</v>
      </c>
      <c r="AG319" t="s">
        <v>57</v>
      </c>
      <c r="AH319">
        <v>0</v>
      </c>
      <c r="AI319" t="s">
        <v>58</v>
      </c>
    </row>
    <row r="320" spans="1:35" x14ac:dyDescent="0.25">
      <c r="A320" t="s">
        <v>35</v>
      </c>
      <c r="B320" t="s">
        <v>36</v>
      </c>
      <c r="C320">
        <v>17</v>
      </c>
      <c r="D320" t="s">
        <v>63</v>
      </c>
      <c r="E320" t="s">
        <v>38</v>
      </c>
      <c r="F320" t="s">
        <v>49</v>
      </c>
      <c r="G320" t="s">
        <v>50</v>
      </c>
      <c r="H320">
        <v>3</v>
      </c>
      <c r="I320">
        <v>4</v>
      </c>
      <c r="J320" t="s">
        <v>41</v>
      </c>
      <c r="K320" t="s">
        <v>54</v>
      </c>
      <c r="L320">
        <v>3</v>
      </c>
      <c r="M320">
        <v>1</v>
      </c>
      <c r="N320" t="s">
        <v>44</v>
      </c>
      <c r="O320" t="s">
        <v>43</v>
      </c>
      <c r="P320" t="s">
        <v>43</v>
      </c>
      <c r="Q320" t="s">
        <v>43</v>
      </c>
      <c r="R320" t="s">
        <v>43</v>
      </c>
      <c r="S320" t="s">
        <v>44</v>
      </c>
      <c r="T320">
        <v>3</v>
      </c>
      <c r="U320">
        <v>4</v>
      </c>
      <c r="V320">
        <v>2</v>
      </c>
      <c r="W320">
        <v>5</v>
      </c>
      <c r="X320">
        <v>5</v>
      </c>
      <c r="Y320">
        <v>0</v>
      </c>
      <c r="Z320">
        <v>0</v>
      </c>
      <c r="AA320">
        <v>11</v>
      </c>
      <c r="AB320">
        <v>11</v>
      </c>
      <c r="AC320">
        <v>10</v>
      </c>
      <c r="AD320" t="s">
        <v>46</v>
      </c>
      <c r="AE320" t="s">
        <v>56</v>
      </c>
      <c r="AF320" t="s">
        <v>52</v>
      </c>
      <c r="AG320" t="s">
        <v>57</v>
      </c>
      <c r="AH320">
        <v>-1</v>
      </c>
      <c r="AI320" t="s">
        <v>60</v>
      </c>
    </row>
    <row r="321" spans="1:35" x14ac:dyDescent="0.25">
      <c r="A321" t="s">
        <v>35</v>
      </c>
      <c r="B321" t="s">
        <v>36</v>
      </c>
      <c r="C321">
        <v>18</v>
      </c>
      <c r="D321" t="s">
        <v>37</v>
      </c>
      <c r="E321" t="s">
        <v>38</v>
      </c>
      <c r="F321" t="s">
        <v>49</v>
      </c>
      <c r="G321" t="s">
        <v>40</v>
      </c>
      <c r="H321">
        <v>4</v>
      </c>
      <c r="I321">
        <v>4</v>
      </c>
      <c r="J321" t="s">
        <v>42</v>
      </c>
      <c r="K321" t="s">
        <v>51</v>
      </c>
      <c r="L321">
        <v>2</v>
      </c>
      <c r="M321">
        <v>1</v>
      </c>
      <c r="N321" t="s">
        <v>44</v>
      </c>
      <c r="O321" t="s">
        <v>43</v>
      </c>
      <c r="P321" t="s">
        <v>43</v>
      </c>
      <c r="Q321" t="s">
        <v>44</v>
      </c>
      <c r="R321" t="s">
        <v>43</v>
      </c>
      <c r="S321" t="s">
        <v>44</v>
      </c>
      <c r="T321">
        <v>4</v>
      </c>
      <c r="U321">
        <v>4</v>
      </c>
      <c r="V321">
        <v>3</v>
      </c>
      <c r="W321">
        <v>3</v>
      </c>
      <c r="X321">
        <v>5</v>
      </c>
      <c r="Y321">
        <v>0</v>
      </c>
      <c r="Z321">
        <v>2</v>
      </c>
      <c r="AA321">
        <v>11</v>
      </c>
      <c r="AB321">
        <v>11</v>
      </c>
      <c r="AC321">
        <v>11</v>
      </c>
      <c r="AD321" t="s">
        <v>46</v>
      </c>
      <c r="AE321" t="s">
        <v>56</v>
      </c>
      <c r="AF321" t="s">
        <v>52</v>
      </c>
      <c r="AG321" t="s">
        <v>47</v>
      </c>
      <c r="AH321">
        <v>0</v>
      </c>
      <c r="AI321" t="s">
        <v>58</v>
      </c>
    </row>
    <row r="322" spans="1:35" x14ac:dyDescent="0.25">
      <c r="A322" t="s">
        <v>35</v>
      </c>
      <c r="B322" t="s">
        <v>36</v>
      </c>
      <c r="C322">
        <v>17</v>
      </c>
      <c r="D322" t="s">
        <v>37</v>
      </c>
      <c r="E322" t="s">
        <v>38</v>
      </c>
      <c r="F322" t="s">
        <v>39</v>
      </c>
      <c r="G322" t="s">
        <v>40</v>
      </c>
      <c r="H322">
        <v>4</v>
      </c>
      <c r="I322">
        <v>3</v>
      </c>
      <c r="J322" t="s">
        <v>54</v>
      </c>
      <c r="K322" t="s">
        <v>54</v>
      </c>
      <c r="L322">
        <v>2</v>
      </c>
      <c r="M322">
        <v>1</v>
      </c>
      <c r="N322" t="s">
        <v>44</v>
      </c>
      <c r="O322" t="s">
        <v>43</v>
      </c>
      <c r="P322" t="s">
        <v>43</v>
      </c>
      <c r="Q322" t="s">
        <v>44</v>
      </c>
      <c r="R322" t="s">
        <v>43</v>
      </c>
      <c r="S322" t="s">
        <v>43</v>
      </c>
      <c r="T322">
        <v>2</v>
      </c>
      <c r="U322">
        <v>2</v>
      </c>
      <c r="V322">
        <v>1</v>
      </c>
      <c r="W322">
        <v>2</v>
      </c>
      <c r="X322">
        <v>5</v>
      </c>
      <c r="Y322">
        <v>0</v>
      </c>
      <c r="Z322">
        <v>23</v>
      </c>
      <c r="AA322">
        <v>13</v>
      </c>
      <c r="AB322">
        <v>13</v>
      </c>
      <c r="AC322">
        <v>13</v>
      </c>
      <c r="AD322" t="s">
        <v>46</v>
      </c>
      <c r="AE322" t="s">
        <v>45</v>
      </c>
      <c r="AF322" t="s">
        <v>62</v>
      </c>
      <c r="AG322" t="s">
        <v>47</v>
      </c>
      <c r="AH322">
        <v>0</v>
      </c>
      <c r="AI322" t="s">
        <v>58</v>
      </c>
    </row>
    <row r="323" spans="1:35" x14ac:dyDescent="0.25">
      <c r="A323" t="s">
        <v>35</v>
      </c>
      <c r="B323" t="s">
        <v>36</v>
      </c>
      <c r="C323">
        <v>17</v>
      </c>
      <c r="D323" t="s">
        <v>37</v>
      </c>
      <c r="E323" t="s">
        <v>38</v>
      </c>
      <c r="F323" t="s">
        <v>49</v>
      </c>
      <c r="G323" t="s">
        <v>40</v>
      </c>
      <c r="H323">
        <v>2</v>
      </c>
      <c r="I323">
        <v>2</v>
      </c>
      <c r="J323" t="s">
        <v>51</v>
      </c>
      <c r="K323" t="s">
        <v>51</v>
      </c>
      <c r="L323">
        <v>2</v>
      </c>
      <c r="M323">
        <v>1</v>
      </c>
      <c r="N323" t="s">
        <v>44</v>
      </c>
      <c r="O323" t="s">
        <v>43</v>
      </c>
      <c r="P323" t="s">
        <v>44</v>
      </c>
      <c r="Q323" t="s">
        <v>44</v>
      </c>
      <c r="R323" t="s">
        <v>44</v>
      </c>
      <c r="S323" t="s">
        <v>43</v>
      </c>
      <c r="T323">
        <v>2</v>
      </c>
      <c r="U323">
        <v>2</v>
      </c>
      <c r="V323">
        <v>1</v>
      </c>
      <c r="W323">
        <v>1</v>
      </c>
      <c r="X323">
        <v>3</v>
      </c>
      <c r="Y323">
        <v>0</v>
      </c>
      <c r="Z323">
        <v>12</v>
      </c>
      <c r="AA323">
        <v>11</v>
      </c>
      <c r="AB323">
        <v>9</v>
      </c>
      <c r="AC323">
        <v>9</v>
      </c>
      <c r="AD323" t="s">
        <v>45</v>
      </c>
      <c r="AE323" t="s">
        <v>45</v>
      </c>
      <c r="AF323" t="s">
        <v>46</v>
      </c>
      <c r="AG323" t="s">
        <v>47</v>
      </c>
      <c r="AH323">
        <v>-2</v>
      </c>
      <c r="AI323" t="s">
        <v>60</v>
      </c>
    </row>
    <row r="324" spans="1:35" x14ac:dyDescent="0.25">
      <c r="A324" t="s">
        <v>35</v>
      </c>
      <c r="B324" t="s">
        <v>36</v>
      </c>
      <c r="C324">
        <v>17</v>
      </c>
      <c r="D324" t="s">
        <v>63</v>
      </c>
      <c r="E324" t="s">
        <v>53</v>
      </c>
      <c r="F324" t="s">
        <v>49</v>
      </c>
      <c r="G324" t="s">
        <v>40</v>
      </c>
      <c r="H324">
        <v>2</v>
      </c>
      <c r="I324">
        <v>2</v>
      </c>
      <c r="J324" t="s">
        <v>54</v>
      </c>
      <c r="K324" t="s">
        <v>54</v>
      </c>
      <c r="L324">
        <v>3</v>
      </c>
      <c r="M324">
        <v>1</v>
      </c>
      <c r="N324" t="s">
        <v>44</v>
      </c>
      <c r="O324" t="s">
        <v>43</v>
      </c>
      <c r="P324" t="s">
        <v>43</v>
      </c>
      <c r="Q324" t="s">
        <v>43</v>
      </c>
      <c r="R324" t="s">
        <v>43</v>
      </c>
      <c r="S324" t="s">
        <v>44</v>
      </c>
      <c r="T324">
        <v>3</v>
      </c>
      <c r="U324">
        <v>2</v>
      </c>
      <c r="V324">
        <v>2</v>
      </c>
      <c r="W324">
        <v>2</v>
      </c>
      <c r="X324">
        <v>3</v>
      </c>
      <c r="Y324">
        <v>0</v>
      </c>
      <c r="Z324">
        <v>3</v>
      </c>
      <c r="AA324">
        <v>11</v>
      </c>
      <c r="AB324">
        <v>11</v>
      </c>
      <c r="AC324">
        <v>11</v>
      </c>
      <c r="AD324" t="s">
        <v>46</v>
      </c>
      <c r="AE324" t="s">
        <v>56</v>
      </c>
      <c r="AF324" t="s">
        <v>52</v>
      </c>
      <c r="AG324" t="s">
        <v>57</v>
      </c>
      <c r="AH324">
        <v>0</v>
      </c>
      <c r="AI324" t="s">
        <v>58</v>
      </c>
    </row>
    <row r="325" spans="1:35" x14ac:dyDescent="0.25">
      <c r="A325" t="s">
        <v>35</v>
      </c>
      <c r="B325" t="s">
        <v>36</v>
      </c>
      <c r="C325">
        <v>17</v>
      </c>
      <c r="D325" t="s">
        <v>37</v>
      </c>
      <c r="E325" t="s">
        <v>38</v>
      </c>
      <c r="F325" t="s">
        <v>49</v>
      </c>
      <c r="G325" t="s">
        <v>50</v>
      </c>
      <c r="H325">
        <v>3</v>
      </c>
      <c r="I325">
        <v>1</v>
      </c>
      <c r="J325" t="s">
        <v>54</v>
      </c>
      <c r="K325" t="s">
        <v>54</v>
      </c>
      <c r="L325">
        <v>3</v>
      </c>
      <c r="M325">
        <v>1</v>
      </c>
      <c r="N325" t="s">
        <v>44</v>
      </c>
      <c r="O325" t="s">
        <v>43</v>
      </c>
      <c r="P325" t="s">
        <v>44</v>
      </c>
      <c r="Q325" t="s">
        <v>44</v>
      </c>
      <c r="R325" t="s">
        <v>43</v>
      </c>
      <c r="S325" t="s">
        <v>44</v>
      </c>
      <c r="T325">
        <v>4</v>
      </c>
      <c r="U325">
        <v>3</v>
      </c>
      <c r="V325">
        <v>2</v>
      </c>
      <c r="W325">
        <v>3</v>
      </c>
      <c r="X325">
        <v>5</v>
      </c>
      <c r="Y325">
        <v>0</v>
      </c>
      <c r="Z325">
        <v>1</v>
      </c>
      <c r="AA325">
        <v>12</v>
      </c>
      <c r="AB325">
        <v>14</v>
      </c>
      <c r="AC325">
        <v>15</v>
      </c>
      <c r="AD325" t="s">
        <v>55</v>
      </c>
      <c r="AE325" t="s">
        <v>56</v>
      </c>
      <c r="AF325" t="s">
        <v>52</v>
      </c>
      <c r="AG325" t="s">
        <v>57</v>
      </c>
      <c r="AH325">
        <v>3</v>
      </c>
      <c r="AI325" t="s">
        <v>48</v>
      </c>
    </row>
    <row r="326" spans="1:35" x14ac:dyDescent="0.25">
      <c r="A326" t="s">
        <v>35</v>
      </c>
      <c r="B326" t="s">
        <v>36</v>
      </c>
      <c r="C326">
        <v>17</v>
      </c>
      <c r="D326" t="s">
        <v>37</v>
      </c>
      <c r="E326" t="s">
        <v>53</v>
      </c>
      <c r="F326" t="s">
        <v>49</v>
      </c>
      <c r="G326" t="s">
        <v>50</v>
      </c>
      <c r="H326">
        <v>0</v>
      </c>
      <c r="I326">
        <v>2</v>
      </c>
      <c r="J326" t="s">
        <v>41</v>
      </c>
      <c r="K326" t="s">
        <v>41</v>
      </c>
      <c r="L326">
        <v>3</v>
      </c>
      <c r="M326">
        <v>2</v>
      </c>
      <c r="N326" t="s">
        <v>44</v>
      </c>
      <c r="O326" t="s">
        <v>44</v>
      </c>
      <c r="P326" t="s">
        <v>44</v>
      </c>
      <c r="Q326" t="s">
        <v>44</v>
      </c>
      <c r="R326" t="s">
        <v>43</v>
      </c>
      <c r="S326" t="s">
        <v>44</v>
      </c>
      <c r="T326">
        <v>3</v>
      </c>
      <c r="U326">
        <v>3</v>
      </c>
      <c r="V326">
        <v>2</v>
      </c>
      <c r="W326">
        <v>3</v>
      </c>
      <c r="X326">
        <v>2</v>
      </c>
      <c r="Y326">
        <v>0</v>
      </c>
      <c r="Z326">
        <v>0</v>
      </c>
      <c r="AA326">
        <v>16</v>
      </c>
      <c r="AB326">
        <v>15</v>
      </c>
      <c r="AC326">
        <v>15</v>
      </c>
      <c r="AD326" t="s">
        <v>55</v>
      </c>
      <c r="AE326" t="s">
        <v>56</v>
      </c>
      <c r="AF326" t="s">
        <v>52</v>
      </c>
      <c r="AG326" t="s">
        <v>57</v>
      </c>
      <c r="AH326">
        <v>-1</v>
      </c>
      <c r="AI326" t="s">
        <v>60</v>
      </c>
    </row>
    <row r="327" spans="1:35" x14ac:dyDescent="0.25">
      <c r="A327" t="s">
        <v>35</v>
      </c>
      <c r="B327" t="s">
        <v>59</v>
      </c>
      <c r="C327">
        <v>18</v>
      </c>
      <c r="D327" t="s">
        <v>37</v>
      </c>
      <c r="E327" t="s">
        <v>38</v>
      </c>
      <c r="F327" t="s">
        <v>49</v>
      </c>
      <c r="G327" t="s">
        <v>40</v>
      </c>
      <c r="H327">
        <v>4</v>
      </c>
      <c r="I327">
        <v>4</v>
      </c>
      <c r="J327" t="s">
        <v>51</v>
      </c>
      <c r="K327" t="s">
        <v>51</v>
      </c>
      <c r="L327">
        <v>3</v>
      </c>
      <c r="M327">
        <v>1</v>
      </c>
      <c r="N327" t="s">
        <v>44</v>
      </c>
      <c r="O327" t="s">
        <v>44</v>
      </c>
      <c r="P327" t="s">
        <v>44</v>
      </c>
      <c r="Q327" t="s">
        <v>43</v>
      </c>
      <c r="R327" t="s">
        <v>43</v>
      </c>
      <c r="S327" t="s">
        <v>44</v>
      </c>
      <c r="T327">
        <v>3</v>
      </c>
      <c r="U327">
        <v>3</v>
      </c>
      <c r="V327">
        <v>2</v>
      </c>
      <c r="W327">
        <v>2</v>
      </c>
      <c r="X327">
        <v>3</v>
      </c>
      <c r="Y327">
        <v>0</v>
      </c>
      <c r="Z327">
        <v>3</v>
      </c>
      <c r="AA327">
        <v>9</v>
      </c>
      <c r="AB327">
        <v>12</v>
      </c>
      <c r="AC327">
        <v>11</v>
      </c>
      <c r="AD327" t="s">
        <v>46</v>
      </c>
      <c r="AE327" t="s">
        <v>56</v>
      </c>
      <c r="AF327" t="s">
        <v>52</v>
      </c>
      <c r="AG327" t="s">
        <v>57</v>
      </c>
      <c r="AH327">
        <v>2</v>
      </c>
      <c r="AI327" t="s">
        <v>48</v>
      </c>
    </row>
    <row r="328" spans="1:35" x14ac:dyDescent="0.25">
      <c r="A328" t="s">
        <v>35</v>
      </c>
      <c r="B328" t="s">
        <v>59</v>
      </c>
      <c r="C328">
        <v>17</v>
      </c>
      <c r="D328" t="s">
        <v>37</v>
      </c>
      <c r="E328" t="s">
        <v>38</v>
      </c>
      <c r="F328" t="s">
        <v>49</v>
      </c>
      <c r="G328" t="s">
        <v>40</v>
      </c>
      <c r="H328">
        <v>3</v>
      </c>
      <c r="I328">
        <v>3</v>
      </c>
      <c r="J328" t="s">
        <v>51</v>
      </c>
      <c r="K328" t="s">
        <v>54</v>
      </c>
      <c r="L328">
        <v>1</v>
      </c>
      <c r="M328">
        <v>1</v>
      </c>
      <c r="N328" t="s">
        <v>44</v>
      </c>
      <c r="O328" t="s">
        <v>44</v>
      </c>
      <c r="P328" t="s">
        <v>44</v>
      </c>
      <c r="Q328" t="s">
        <v>43</v>
      </c>
      <c r="R328" t="s">
        <v>43</v>
      </c>
      <c r="S328" t="s">
        <v>44</v>
      </c>
      <c r="T328">
        <v>3</v>
      </c>
      <c r="U328">
        <v>5</v>
      </c>
      <c r="V328">
        <v>3</v>
      </c>
      <c r="W328">
        <v>5</v>
      </c>
      <c r="X328">
        <v>5</v>
      </c>
      <c r="Y328">
        <v>0</v>
      </c>
      <c r="Z328">
        <v>3</v>
      </c>
      <c r="AA328">
        <v>14</v>
      </c>
      <c r="AB328">
        <v>15</v>
      </c>
      <c r="AC328">
        <v>16</v>
      </c>
      <c r="AD328" t="s">
        <v>55</v>
      </c>
      <c r="AE328" t="s">
        <v>56</v>
      </c>
      <c r="AF328" t="s">
        <v>52</v>
      </c>
      <c r="AG328" t="s">
        <v>61</v>
      </c>
      <c r="AH328">
        <v>2</v>
      </c>
      <c r="AI328" t="s">
        <v>48</v>
      </c>
    </row>
    <row r="329" spans="1:35" x14ac:dyDescent="0.25">
      <c r="A329" t="s">
        <v>35</v>
      </c>
      <c r="B329" t="s">
        <v>59</v>
      </c>
      <c r="C329">
        <v>17</v>
      </c>
      <c r="D329" t="s">
        <v>63</v>
      </c>
      <c r="E329" t="s">
        <v>38</v>
      </c>
      <c r="F329" t="s">
        <v>49</v>
      </c>
      <c r="G329" t="s">
        <v>40</v>
      </c>
      <c r="H329">
        <v>2</v>
      </c>
      <c r="I329">
        <v>2</v>
      </c>
      <c r="J329" t="s">
        <v>54</v>
      </c>
      <c r="K329" t="s">
        <v>51</v>
      </c>
      <c r="L329">
        <v>1</v>
      </c>
      <c r="M329">
        <v>4</v>
      </c>
      <c r="N329" t="s">
        <v>44</v>
      </c>
      <c r="O329" t="s">
        <v>43</v>
      </c>
      <c r="P329" t="s">
        <v>44</v>
      </c>
      <c r="Q329" t="s">
        <v>44</v>
      </c>
      <c r="R329" t="s">
        <v>43</v>
      </c>
      <c r="S329" t="s">
        <v>44</v>
      </c>
      <c r="T329">
        <v>4</v>
      </c>
      <c r="U329">
        <v>5</v>
      </c>
      <c r="V329">
        <v>5</v>
      </c>
      <c r="W329">
        <v>5</v>
      </c>
      <c r="X329">
        <v>4</v>
      </c>
      <c r="Y329">
        <v>0</v>
      </c>
      <c r="Z329">
        <v>8</v>
      </c>
      <c r="AA329">
        <v>11</v>
      </c>
      <c r="AB329">
        <v>10</v>
      </c>
      <c r="AC329">
        <v>10</v>
      </c>
      <c r="AD329" t="s">
        <v>46</v>
      </c>
      <c r="AE329" t="s">
        <v>56</v>
      </c>
      <c r="AF329" t="s">
        <v>46</v>
      </c>
      <c r="AG329" t="s">
        <v>61</v>
      </c>
      <c r="AH329">
        <v>-1</v>
      </c>
      <c r="AI329" t="s">
        <v>60</v>
      </c>
    </row>
    <row r="330" spans="1:35" x14ac:dyDescent="0.25">
      <c r="A330" t="s">
        <v>35</v>
      </c>
      <c r="B330" t="s">
        <v>36</v>
      </c>
      <c r="C330">
        <v>17</v>
      </c>
      <c r="D330" t="s">
        <v>37</v>
      </c>
      <c r="E330" t="s">
        <v>38</v>
      </c>
      <c r="F330" t="s">
        <v>49</v>
      </c>
      <c r="G330" t="s">
        <v>40</v>
      </c>
      <c r="H330">
        <v>4</v>
      </c>
      <c r="I330">
        <v>4</v>
      </c>
      <c r="J330" t="s">
        <v>42</v>
      </c>
      <c r="K330" t="s">
        <v>54</v>
      </c>
      <c r="L330">
        <v>3</v>
      </c>
      <c r="M330">
        <v>1</v>
      </c>
      <c r="N330" t="s">
        <v>44</v>
      </c>
      <c r="O330" t="s">
        <v>43</v>
      </c>
      <c r="P330" t="s">
        <v>43</v>
      </c>
      <c r="Q330" t="s">
        <v>43</v>
      </c>
      <c r="R330" t="s">
        <v>43</v>
      </c>
      <c r="S330" t="s">
        <v>44</v>
      </c>
      <c r="T330">
        <v>4</v>
      </c>
      <c r="U330">
        <v>4</v>
      </c>
      <c r="V330">
        <v>1</v>
      </c>
      <c r="W330">
        <v>3</v>
      </c>
      <c r="X330">
        <v>4</v>
      </c>
      <c r="Y330">
        <v>0</v>
      </c>
      <c r="Z330">
        <v>7</v>
      </c>
      <c r="AA330">
        <v>10</v>
      </c>
      <c r="AB330">
        <v>9</v>
      </c>
      <c r="AC330">
        <v>9</v>
      </c>
      <c r="AD330" t="s">
        <v>45</v>
      </c>
      <c r="AE330" t="s">
        <v>45</v>
      </c>
      <c r="AF330" t="s">
        <v>46</v>
      </c>
      <c r="AG330" t="s">
        <v>57</v>
      </c>
      <c r="AH330">
        <v>-1</v>
      </c>
      <c r="AI330" t="s">
        <v>60</v>
      </c>
    </row>
    <row r="331" spans="1:35" x14ac:dyDescent="0.25">
      <c r="A331" t="s">
        <v>35</v>
      </c>
      <c r="B331" t="s">
        <v>36</v>
      </c>
      <c r="C331">
        <v>17</v>
      </c>
      <c r="D331" t="s">
        <v>37</v>
      </c>
      <c r="E331" t="s">
        <v>38</v>
      </c>
      <c r="F331" t="s">
        <v>49</v>
      </c>
      <c r="G331" t="s">
        <v>40</v>
      </c>
      <c r="H331">
        <v>4</v>
      </c>
      <c r="I331">
        <v>4</v>
      </c>
      <c r="J331" t="s">
        <v>42</v>
      </c>
      <c r="K331" t="s">
        <v>42</v>
      </c>
      <c r="L331">
        <v>3</v>
      </c>
      <c r="M331">
        <v>2</v>
      </c>
      <c r="N331" t="s">
        <v>44</v>
      </c>
      <c r="O331" t="s">
        <v>43</v>
      </c>
      <c r="P331" t="s">
        <v>43</v>
      </c>
      <c r="Q331" t="s">
        <v>44</v>
      </c>
      <c r="R331" t="s">
        <v>43</v>
      </c>
      <c r="S331" t="s">
        <v>43</v>
      </c>
      <c r="T331">
        <v>3</v>
      </c>
      <c r="U331">
        <v>3</v>
      </c>
      <c r="V331">
        <v>1</v>
      </c>
      <c r="W331">
        <v>2</v>
      </c>
      <c r="X331">
        <v>4</v>
      </c>
      <c r="Y331">
        <v>0</v>
      </c>
      <c r="Z331">
        <v>4</v>
      </c>
      <c r="AA331">
        <v>14</v>
      </c>
      <c r="AB331">
        <v>14</v>
      </c>
      <c r="AC331">
        <v>14</v>
      </c>
      <c r="AD331" t="s">
        <v>55</v>
      </c>
      <c r="AE331" t="s">
        <v>56</v>
      </c>
      <c r="AF331" t="s">
        <v>52</v>
      </c>
      <c r="AG331" t="s">
        <v>57</v>
      </c>
      <c r="AH331">
        <v>0</v>
      </c>
      <c r="AI331" t="s">
        <v>58</v>
      </c>
    </row>
    <row r="332" spans="1:35" x14ac:dyDescent="0.25">
      <c r="A332" t="s">
        <v>35</v>
      </c>
      <c r="B332" t="s">
        <v>59</v>
      </c>
      <c r="C332">
        <v>18</v>
      </c>
      <c r="D332" t="s">
        <v>37</v>
      </c>
      <c r="E332" t="s">
        <v>53</v>
      </c>
      <c r="F332" t="s">
        <v>49</v>
      </c>
      <c r="G332" t="s">
        <v>40</v>
      </c>
      <c r="H332">
        <v>2</v>
      </c>
      <c r="I332">
        <v>2</v>
      </c>
      <c r="J332" t="s">
        <v>51</v>
      </c>
      <c r="K332" t="s">
        <v>51</v>
      </c>
      <c r="L332">
        <v>4</v>
      </c>
      <c r="M332">
        <v>1</v>
      </c>
      <c r="N332" t="s">
        <v>44</v>
      </c>
      <c r="O332" t="s">
        <v>43</v>
      </c>
      <c r="P332" t="s">
        <v>44</v>
      </c>
      <c r="Q332" t="s">
        <v>43</v>
      </c>
      <c r="R332" t="s">
        <v>43</v>
      </c>
      <c r="S332" t="s">
        <v>44</v>
      </c>
      <c r="T332">
        <v>5</v>
      </c>
      <c r="U332">
        <v>5</v>
      </c>
      <c r="V332">
        <v>2</v>
      </c>
      <c r="W332">
        <v>4</v>
      </c>
      <c r="X332">
        <v>5</v>
      </c>
      <c r="Y332">
        <v>0</v>
      </c>
      <c r="Z332">
        <v>2</v>
      </c>
      <c r="AA332">
        <v>9</v>
      </c>
      <c r="AB332">
        <v>8</v>
      </c>
      <c r="AC332">
        <v>8</v>
      </c>
      <c r="AD332" t="s">
        <v>45</v>
      </c>
      <c r="AE332" t="s">
        <v>45</v>
      </c>
      <c r="AF332" t="s">
        <v>52</v>
      </c>
      <c r="AG332" t="s">
        <v>64</v>
      </c>
      <c r="AH332">
        <v>-1</v>
      </c>
      <c r="AI332" t="s">
        <v>60</v>
      </c>
    </row>
    <row r="333" spans="1:35" x14ac:dyDescent="0.25">
      <c r="A333" t="s">
        <v>35</v>
      </c>
      <c r="B333" t="s">
        <v>36</v>
      </c>
      <c r="C333">
        <v>17</v>
      </c>
      <c r="D333" t="s">
        <v>63</v>
      </c>
      <c r="E333" t="s">
        <v>38</v>
      </c>
      <c r="F333" t="s">
        <v>49</v>
      </c>
      <c r="G333" t="s">
        <v>50</v>
      </c>
      <c r="H333">
        <v>2</v>
      </c>
      <c r="I333">
        <v>4</v>
      </c>
      <c r="J333" t="s">
        <v>41</v>
      </c>
      <c r="K333" t="s">
        <v>51</v>
      </c>
      <c r="L333">
        <v>3</v>
      </c>
      <c r="M333">
        <v>1</v>
      </c>
      <c r="N333" t="s">
        <v>44</v>
      </c>
      <c r="O333" t="s">
        <v>43</v>
      </c>
      <c r="P333" t="s">
        <v>44</v>
      </c>
      <c r="Q333" t="s">
        <v>44</v>
      </c>
      <c r="R333" t="s">
        <v>43</v>
      </c>
      <c r="S333" t="s">
        <v>43</v>
      </c>
      <c r="T333">
        <v>4</v>
      </c>
      <c r="U333">
        <v>3</v>
      </c>
      <c r="V333">
        <v>1</v>
      </c>
      <c r="W333">
        <v>1</v>
      </c>
      <c r="X333">
        <v>5</v>
      </c>
      <c r="Y333">
        <v>0</v>
      </c>
      <c r="Z333">
        <v>7</v>
      </c>
      <c r="AA333">
        <v>12</v>
      </c>
      <c r="AB333">
        <v>14</v>
      </c>
      <c r="AC333">
        <v>14</v>
      </c>
      <c r="AD333" t="s">
        <v>55</v>
      </c>
      <c r="AE333" t="s">
        <v>56</v>
      </c>
      <c r="AF333" t="s">
        <v>46</v>
      </c>
      <c r="AG333" t="s">
        <v>57</v>
      </c>
      <c r="AH333">
        <v>2</v>
      </c>
      <c r="AI333" t="s">
        <v>48</v>
      </c>
    </row>
    <row r="334" spans="1:35" x14ac:dyDescent="0.25">
      <c r="A334" t="s">
        <v>35</v>
      </c>
      <c r="B334" t="s">
        <v>36</v>
      </c>
      <c r="C334">
        <v>18</v>
      </c>
      <c r="D334" t="s">
        <v>37</v>
      </c>
      <c r="E334" t="s">
        <v>38</v>
      </c>
      <c r="F334" t="s">
        <v>49</v>
      </c>
      <c r="G334" t="s">
        <v>40</v>
      </c>
      <c r="H334">
        <v>3</v>
      </c>
      <c r="I334">
        <v>3</v>
      </c>
      <c r="J334" t="s">
        <v>54</v>
      </c>
      <c r="K334" t="s">
        <v>54</v>
      </c>
      <c r="L334">
        <v>2</v>
      </c>
      <c r="M334">
        <v>1</v>
      </c>
      <c r="N334" t="s">
        <v>44</v>
      </c>
      <c r="O334" t="s">
        <v>44</v>
      </c>
      <c r="P334" t="s">
        <v>44</v>
      </c>
      <c r="Q334" t="s">
        <v>43</v>
      </c>
      <c r="R334" t="s">
        <v>43</v>
      </c>
      <c r="S334" t="s">
        <v>44</v>
      </c>
      <c r="T334">
        <v>3</v>
      </c>
      <c r="U334">
        <v>4</v>
      </c>
      <c r="V334">
        <v>1</v>
      </c>
      <c r="W334">
        <v>1</v>
      </c>
      <c r="X334">
        <v>4</v>
      </c>
      <c r="Y334">
        <v>0</v>
      </c>
      <c r="Z334">
        <v>0</v>
      </c>
      <c r="AA334">
        <v>7</v>
      </c>
      <c r="AB334">
        <v>0</v>
      </c>
      <c r="AC334">
        <v>0</v>
      </c>
      <c r="AD334" t="s">
        <v>45</v>
      </c>
      <c r="AE334" t="s">
        <v>45</v>
      </c>
      <c r="AF334" t="s">
        <v>52</v>
      </c>
      <c r="AG334" t="s">
        <v>47</v>
      </c>
      <c r="AH334">
        <v>-7</v>
      </c>
      <c r="AI334" t="s">
        <v>60</v>
      </c>
    </row>
    <row r="335" spans="1:35" x14ac:dyDescent="0.25">
      <c r="A335" t="s">
        <v>35</v>
      </c>
      <c r="B335" t="s">
        <v>36</v>
      </c>
      <c r="C335">
        <v>18</v>
      </c>
      <c r="D335" t="s">
        <v>37</v>
      </c>
      <c r="E335" t="s">
        <v>53</v>
      </c>
      <c r="F335" t="s">
        <v>49</v>
      </c>
      <c r="G335" t="s">
        <v>51</v>
      </c>
      <c r="H335">
        <v>2</v>
      </c>
      <c r="I335">
        <v>2</v>
      </c>
      <c r="J335" t="s">
        <v>51</v>
      </c>
      <c r="K335" t="s">
        <v>51</v>
      </c>
      <c r="L335">
        <v>2</v>
      </c>
      <c r="M335">
        <v>1</v>
      </c>
      <c r="N335" t="s">
        <v>44</v>
      </c>
      <c r="O335" t="s">
        <v>44</v>
      </c>
      <c r="P335" t="s">
        <v>44</v>
      </c>
      <c r="Q335" t="s">
        <v>43</v>
      </c>
      <c r="R335" t="s">
        <v>43</v>
      </c>
      <c r="S335" t="s">
        <v>43</v>
      </c>
      <c r="T335">
        <v>3</v>
      </c>
      <c r="U335">
        <v>3</v>
      </c>
      <c r="V335">
        <v>1</v>
      </c>
      <c r="W335">
        <v>1</v>
      </c>
      <c r="X335">
        <v>2</v>
      </c>
      <c r="Y335">
        <v>0</v>
      </c>
      <c r="Z335">
        <v>0</v>
      </c>
      <c r="AA335">
        <v>8</v>
      </c>
      <c r="AB335">
        <v>8</v>
      </c>
      <c r="AC335">
        <v>0</v>
      </c>
      <c r="AD335" t="s">
        <v>45</v>
      </c>
      <c r="AE335" t="s">
        <v>45</v>
      </c>
      <c r="AF335" t="s">
        <v>52</v>
      </c>
      <c r="AG335" t="s">
        <v>47</v>
      </c>
      <c r="AH335">
        <v>-8</v>
      </c>
      <c r="AI335" t="s">
        <v>60</v>
      </c>
    </row>
    <row r="336" spans="1:35" x14ac:dyDescent="0.25">
      <c r="A336" t="s">
        <v>35</v>
      </c>
      <c r="B336" t="s">
        <v>36</v>
      </c>
      <c r="C336">
        <v>18</v>
      </c>
      <c r="D336" t="s">
        <v>63</v>
      </c>
      <c r="E336" t="s">
        <v>38</v>
      </c>
      <c r="F336" t="s">
        <v>49</v>
      </c>
      <c r="G336" t="s">
        <v>40</v>
      </c>
      <c r="H336">
        <v>2</v>
      </c>
      <c r="I336">
        <v>2</v>
      </c>
      <c r="J336" t="s">
        <v>41</v>
      </c>
      <c r="K336" t="s">
        <v>51</v>
      </c>
      <c r="L336">
        <v>4</v>
      </c>
      <c r="M336">
        <v>2</v>
      </c>
      <c r="N336" t="s">
        <v>44</v>
      </c>
      <c r="O336" t="s">
        <v>44</v>
      </c>
      <c r="P336" t="s">
        <v>44</v>
      </c>
      <c r="Q336" t="s">
        <v>43</v>
      </c>
      <c r="R336" t="s">
        <v>44</v>
      </c>
      <c r="S336" t="s">
        <v>44</v>
      </c>
      <c r="T336">
        <v>4</v>
      </c>
      <c r="U336">
        <v>4</v>
      </c>
      <c r="V336">
        <v>1</v>
      </c>
      <c r="W336">
        <v>1</v>
      </c>
      <c r="X336">
        <v>4</v>
      </c>
      <c r="Y336">
        <v>0</v>
      </c>
      <c r="Z336">
        <v>0</v>
      </c>
      <c r="AA336">
        <v>10</v>
      </c>
      <c r="AB336">
        <v>9</v>
      </c>
      <c r="AC336">
        <v>0</v>
      </c>
      <c r="AD336" t="s">
        <v>45</v>
      </c>
      <c r="AE336" t="s">
        <v>45</v>
      </c>
      <c r="AF336" t="s">
        <v>52</v>
      </c>
      <c r="AG336" t="s">
        <v>64</v>
      </c>
      <c r="AH336">
        <v>-10</v>
      </c>
      <c r="AI336" t="s">
        <v>60</v>
      </c>
    </row>
    <row r="337" spans="1:35" x14ac:dyDescent="0.25">
      <c r="A337" t="s">
        <v>35</v>
      </c>
      <c r="B337" t="s">
        <v>36</v>
      </c>
      <c r="C337">
        <v>17</v>
      </c>
      <c r="D337" t="s">
        <v>37</v>
      </c>
      <c r="E337" t="s">
        <v>38</v>
      </c>
      <c r="F337" t="s">
        <v>49</v>
      </c>
      <c r="G337" t="s">
        <v>40</v>
      </c>
      <c r="H337">
        <v>3</v>
      </c>
      <c r="I337">
        <v>4</v>
      </c>
      <c r="J337" t="s">
        <v>54</v>
      </c>
      <c r="K337" t="s">
        <v>51</v>
      </c>
      <c r="L337">
        <v>3</v>
      </c>
      <c r="M337">
        <v>1</v>
      </c>
      <c r="N337" t="s">
        <v>44</v>
      </c>
      <c r="O337" t="s">
        <v>44</v>
      </c>
      <c r="P337" t="s">
        <v>44</v>
      </c>
      <c r="Q337" t="s">
        <v>44</v>
      </c>
      <c r="R337" t="s">
        <v>43</v>
      </c>
      <c r="S337" t="s">
        <v>44</v>
      </c>
      <c r="T337">
        <v>4</v>
      </c>
      <c r="U337">
        <v>5</v>
      </c>
      <c r="V337">
        <v>1</v>
      </c>
      <c r="W337">
        <v>3</v>
      </c>
      <c r="X337">
        <v>5</v>
      </c>
      <c r="Y337">
        <v>0</v>
      </c>
      <c r="Z337">
        <v>16</v>
      </c>
      <c r="AA337">
        <v>16</v>
      </c>
      <c r="AB337">
        <v>15</v>
      </c>
      <c r="AC337">
        <v>15</v>
      </c>
      <c r="AD337" t="s">
        <v>55</v>
      </c>
      <c r="AE337" t="s">
        <v>45</v>
      </c>
      <c r="AF337" t="s">
        <v>62</v>
      </c>
      <c r="AG337" t="s">
        <v>57</v>
      </c>
      <c r="AH337">
        <v>-1</v>
      </c>
      <c r="AI337" t="s">
        <v>60</v>
      </c>
    </row>
    <row r="338" spans="1:35" x14ac:dyDescent="0.25">
      <c r="A338" t="s">
        <v>35</v>
      </c>
      <c r="B338" t="s">
        <v>36</v>
      </c>
      <c r="C338">
        <v>19</v>
      </c>
      <c r="D338" t="s">
        <v>63</v>
      </c>
      <c r="E338" t="s">
        <v>38</v>
      </c>
      <c r="F338" t="s">
        <v>39</v>
      </c>
      <c r="G338" t="s">
        <v>51</v>
      </c>
      <c r="H338">
        <v>3</v>
      </c>
      <c r="I338">
        <v>1</v>
      </c>
      <c r="J338" t="s">
        <v>54</v>
      </c>
      <c r="K338" t="s">
        <v>41</v>
      </c>
      <c r="L338">
        <v>3</v>
      </c>
      <c r="M338">
        <v>1</v>
      </c>
      <c r="N338" t="s">
        <v>44</v>
      </c>
      <c r="O338" t="s">
        <v>44</v>
      </c>
      <c r="P338" t="s">
        <v>43</v>
      </c>
      <c r="Q338" t="s">
        <v>44</v>
      </c>
      <c r="R338" t="s">
        <v>44</v>
      </c>
      <c r="S338" t="s">
        <v>44</v>
      </c>
      <c r="T338">
        <v>4</v>
      </c>
      <c r="U338">
        <v>3</v>
      </c>
      <c r="V338">
        <v>1</v>
      </c>
      <c r="W338">
        <v>2</v>
      </c>
      <c r="X338">
        <v>5</v>
      </c>
      <c r="Y338">
        <v>1</v>
      </c>
      <c r="Z338">
        <v>12</v>
      </c>
      <c r="AA338">
        <v>14</v>
      </c>
      <c r="AB338">
        <v>13</v>
      </c>
      <c r="AC338">
        <v>13</v>
      </c>
      <c r="AD338" t="s">
        <v>46</v>
      </c>
      <c r="AE338" t="s">
        <v>45</v>
      </c>
      <c r="AF338" t="s">
        <v>46</v>
      </c>
      <c r="AG338" t="s">
        <v>57</v>
      </c>
      <c r="AH338">
        <v>-1</v>
      </c>
      <c r="AI338" t="s">
        <v>60</v>
      </c>
    </row>
    <row r="339" spans="1:35" x14ac:dyDescent="0.25">
      <c r="A339" t="s">
        <v>35</v>
      </c>
      <c r="B339" t="s">
        <v>36</v>
      </c>
      <c r="C339">
        <v>17</v>
      </c>
      <c r="D339" t="s">
        <v>37</v>
      </c>
      <c r="E339" t="s">
        <v>38</v>
      </c>
      <c r="F339" t="s">
        <v>49</v>
      </c>
      <c r="G339" t="s">
        <v>40</v>
      </c>
      <c r="H339">
        <v>3</v>
      </c>
      <c r="I339">
        <v>2</v>
      </c>
      <c r="J339" t="s">
        <v>51</v>
      </c>
      <c r="K339" t="s">
        <v>51</v>
      </c>
      <c r="L339">
        <v>2</v>
      </c>
      <c r="M339">
        <v>1</v>
      </c>
      <c r="N339" t="s">
        <v>44</v>
      </c>
      <c r="O339" t="s">
        <v>43</v>
      </c>
      <c r="P339" t="s">
        <v>43</v>
      </c>
      <c r="Q339" t="s">
        <v>44</v>
      </c>
      <c r="R339" t="s">
        <v>43</v>
      </c>
      <c r="S339" t="s">
        <v>43</v>
      </c>
      <c r="T339">
        <v>3</v>
      </c>
      <c r="U339">
        <v>2</v>
      </c>
      <c r="V339">
        <v>2</v>
      </c>
      <c r="W339">
        <v>3</v>
      </c>
      <c r="X339">
        <v>2</v>
      </c>
      <c r="Y339">
        <v>0</v>
      </c>
      <c r="Z339">
        <v>0</v>
      </c>
      <c r="AA339">
        <v>7</v>
      </c>
      <c r="AB339">
        <v>8</v>
      </c>
      <c r="AC339">
        <v>0</v>
      </c>
      <c r="AD339" t="s">
        <v>45</v>
      </c>
      <c r="AE339" t="s">
        <v>45</v>
      </c>
      <c r="AF339" t="s">
        <v>52</v>
      </c>
      <c r="AG339" t="s">
        <v>47</v>
      </c>
      <c r="AH339">
        <v>-7</v>
      </c>
      <c r="AI339" t="s">
        <v>60</v>
      </c>
    </row>
    <row r="340" spans="1:35" x14ac:dyDescent="0.25">
      <c r="A340" t="s">
        <v>35</v>
      </c>
      <c r="B340" t="s">
        <v>36</v>
      </c>
      <c r="C340">
        <v>18</v>
      </c>
      <c r="D340" t="s">
        <v>37</v>
      </c>
      <c r="E340" t="s">
        <v>53</v>
      </c>
      <c r="F340" t="s">
        <v>49</v>
      </c>
      <c r="G340" t="s">
        <v>40</v>
      </c>
      <c r="H340">
        <v>3</v>
      </c>
      <c r="I340">
        <v>3</v>
      </c>
      <c r="J340" t="s">
        <v>54</v>
      </c>
      <c r="K340" t="s">
        <v>54</v>
      </c>
      <c r="L340">
        <v>4</v>
      </c>
      <c r="M340">
        <v>1</v>
      </c>
      <c r="N340" t="s">
        <v>44</v>
      </c>
      <c r="O340" t="s">
        <v>43</v>
      </c>
      <c r="P340" t="s">
        <v>44</v>
      </c>
      <c r="Q340" t="s">
        <v>44</v>
      </c>
      <c r="R340" t="s">
        <v>43</v>
      </c>
      <c r="S340" t="s">
        <v>44</v>
      </c>
      <c r="T340">
        <v>3</v>
      </c>
      <c r="U340">
        <v>3</v>
      </c>
      <c r="V340">
        <v>1</v>
      </c>
      <c r="W340">
        <v>1</v>
      </c>
      <c r="X340">
        <v>1</v>
      </c>
      <c r="Y340">
        <v>0</v>
      </c>
      <c r="Z340">
        <v>7</v>
      </c>
      <c r="AA340">
        <v>16</v>
      </c>
      <c r="AB340">
        <v>15</v>
      </c>
      <c r="AC340">
        <v>17</v>
      </c>
      <c r="AD340" t="s">
        <v>55</v>
      </c>
      <c r="AE340" t="s">
        <v>56</v>
      </c>
      <c r="AF340" t="s">
        <v>46</v>
      </c>
      <c r="AG340" t="s">
        <v>64</v>
      </c>
      <c r="AH340">
        <v>1</v>
      </c>
      <c r="AI340" t="s">
        <v>48</v>
      </c>
    </row>
    <row r="341" spans="1:35" x14ac:dyDescent="0.25">
      <c r="A341" t="s">
        <v>35</v>
      </c>
      <c r="B341" t="s">
        <v>36</v>
      </c>
      <c r="C341">
        <v>17</v>
      </c>
      <c r="D341" t="s">
        <v>63</v>
      </c>
      <c r="E341" t="s">
        <v>38</v>
      </c>
      <c r="F341" t="s">
        <v>39</v>
      </c>
      <c r="G341" t="s">
        <v>40</v>
      </c>
      <c r="H341">
        <v>3</v>
      </c>
      <c r="I341">
        <v>2</v>
      </c>
      <c r="J341" t="s">
        <v>51</v>
      </c>
      <c r="K341" t="s">
        <v>51</v>
      </c>
      <c r="L341">
        <v>2</v>
      </c>
      <c r="M341">
        <v>1</v>
      </c>
      <c r="N341" t="s">
        <v>44</v>
      </c>
      <c r="O341" t="s">
        <v>43</v>
      </c>
      <c r="P341" t="s">
        <v>43</v>
      </c>
      <c r="Q341" t="s">
        <v>44</v>
      </c>
      <c r="R341" t="s">
        <v>43</v>
      </c>
      <c r="S341" t="s">
        <v>44</v>
      </c>
      <c r="T341">
        <v>3</v>
      </c>
      <c r="U341">
        <v>3</v>
      </c>
      <c r="V341">
        <v>2</v>
      </c>
      <c r="W341">
        <v>3</v>
      </c>
      <c r="X341">
        <v>2</v>
      </c>
      <c r="Y341">
        <v>0</v>
      </c>
      <c r="Z341">
        <v>4</v>
      </c>
      <c r="AA341">
        <v>9</v>
      </c>
      <c r="AB341">
        <v>10</v>
      </c>
      <c r="AC341">
        <v>10</v>
      </c>
      <c r="AD341" t="s">
        <v>46</v>
      </c>
      <c r="AE341" t="s">
        <v>56</v>
      </c>
      <c r="AF341" t="s">
        <v>52</v>
      </c>
      <c r="AG341" t="s">
        <v>47</v>
      </c>
      <c r="AH341">
        <v>1</v>
      </c>
      <c r="AI341" t="s">
        <v>48</v>
      </c>
    </row>
    <row r="342" spans="1:35" x14ac:dyDescent="0.25">
      <c r="A342" t="s">
        <v>35</v>
      </c>
      <c r="B342" t="s">
        <v>36</v>
      </c>
      <c r="C342">
        <v>19</v>
      </c>
      <c r="D342" t="s">
        <v>37</v>
      </c>
      <c r="E342" t="s">
        <v>38</v>
      </c>
      <c r="F342" t="s">
        <v>49</v>
      </c>
      <c r="G342" t="s">
        <v>51</v>
      </c>
      <c r="H342">
        <v>2</v>
      </c>
      <c r="I342">
        <v>1</v>
      </c>
      <c r="J342" t="s">
        <v>54</v>
      </c>
      <c r="K342" t="s">
        <v>54</v>
      </c>
      <c r="L342">
        <v>3</v>
      </c>
      <c r="M342">
        <v>1</v>
      </c>
      <c r="N342" t="s">
        <v>44</v>
      </c>
      <c r="O342" t="s">
        <v>44</v>
      </c>
      <c r="P342" t="s">
        <v>43</v>
      </c>
      <c r="Q342" t="s">
        <v>43</v>
      </c>
      <c r="R342" t="s">
        <v>43</v>
      </c>
      <c r="S342" t="s">
        <v>43</v>
      </c>
      <c r="T342">
        <v>3</v>
      </c>
      <c r="U342">
        <v>4</v>
      </c>
      <c r="V342">
        <v>1</v>
      </c>
      <c r="W342">
        <v>3</v>
      </c>
      <c r="X342">
        <v>3</v>
      </c>
      <c r="Y342">
        <v>1</v>
      </c>
      <c r="Z342">
        <v>4</v>
      </c>
      <c r="AA342">
        <v>11</v>
      </c>
      <c r="AB342">
        <v>12</v>
      </c>
      <c r="AC342">
        <v>11</v>
      </c>
      <c r="AD342" t="s">
        <v>46</v>
      </c>
      <c r="AE342" t="s">
        <v>45</v>
      </c>
      <c r="AF342" t="s">
        <v>52</v>
      </c>
      <c r="AG342" t="s">
        <v>57</v>
      </c>
      <c r="AH342">
        <v>0</v>
      </c>
      <c r="AI342" t="s">
        <v>58</v>
      </c>
    </row>
    <row r="343" spans="1:35" x14ac:dyDescent="0.25">
      <c r="A343" t="s">
        <v>35</v>
      </c>
      <c r="B343" t="s">
        <v>59</v>
      </c>
      <c r="C343">
        <v>18</v>
      </c>
      <c r="D343" t="s">
        <v>37</v>
      </c>
      <c r="E343" t="s">
        <v>38</v>
      </c>
      <c r="F343" t="s">
        <v>49</v>
      </c>
      <c r="G343" t="s">
        <v>50</v>
      </c>
      <c r="H343">
        <v>4</v>
      </c>
      <c r="I343">
        <v>4</v>
      </c>
      <c r="J343" t="s">
        <v>42</v>
      </c>
      <c r="K343" t="s">
        <v>54</v>
      </c>
      <c r="L343">
        <v>2</v>
      </c>
      <c r="M343">
        <v>1</v>
      </c>
      <c r="N343" t="s">
        <v>44</v>
      </c>
      <c r="O343" t="s">
        <v>43</v>
      </c>
      <c r="P343" t="s">
        <v>44</v>
      </c>
      <c r="Q343" t="s">
        <v>43</v>
      </c>
      <c r="R343" t="s">
        <v>43</v>
      </c>
      <c r="S343" t="s">
        <v>44</v>
      </c>
      <c r="T343">
        <v>3</v>
      </c>
      <c r="U343">
        <v>3</v>
      </c>
      <c r="V343">
        <v>2</v>
      </c>
      <c r="W343">
        <v>2</v>
      </c>
      <c r="X343">
        <v>2</v>
      </c>
      <c r="Y343">
        <v>1</v>
      </c>
      <c r="Z343">
        <v>0</v>
      </c>
      <c r="AA343">
        <v>10</v>
      </c>
      <c r="AB343">
        <v>10</v>
      </c>
      <c r="AC343">
        <v>0</v>
      </c>
      <c r="AD343" t="s">
        <v>45</v>
      </c>
      <c r="AE343" t="s">
        <v>45</v>
      </c>
      <c r="AF343" t="s">
        <v>52</v>
      </c>
      <c r="AG343" t="s">
        <v>47</v>
      </c>
      <c r="AH343">
        <v>-10</v>
      </c>
      <c r="AI343" t="s">
        <v>60</v>
      </c>
    </row>
    <row r="344" spans="1:35" x14ac:dyDescent="0.25">
      <c r="A344" t="s">
        <v>35</v>
      </c>
      <c r="B344" t="s">
        <v>59</v>
      </c>
      <c r="C344">
        <v>18</v>
      </c>
      <c r="D344" t="s">
        <v>37</v>
      </c>
      <c r="E344" t="s">
        <v>53</v>
      </c>
      <c r="F344" t="s">
        <v>49</v>
      </c>
      <c r="G344" t="s">
        <v>40</v>
      </c>
      <c r="H344">
        <v>3</v>
      </c>
      <c r="I344">
        <v>4</v>
      </c>
      <c r="J344" t="s">
        <v>54</v>
      </c>
      <c r="K344" t="s">
        <v>51</v>
      </c>
      <c r="L344">
        <v>2</v>
      </c>
      <c r="M344">
        <v>1</v>
      </c>
      <c r="N344" t="s">
        <v>44</v>
      </c>
      <c r="O344" t="s">
        <v>44</v>
      </c>
      <c r="P344" t="s">
        <v>44</v>
      </c>
      <c r="Q344" t="s">
        <v>43</v>
      </c>
      <c r="R344" t="s">
        <v>43</v>
      </c>
      <c r="S344" t="s">
        <v>43</v>
      </c>
      <c r="T344">
        <v>3</v>
      </c>
      <c r="U344">
        <v>3</v>
      </c>
      <c r="V344">
        <v>1</v>
      </c>
      <c r="W344">
        <v>3</v>
      </c>
      <c r="X344">
        <v>5</v>
      </c>
      <c r="Y344">
        <v>0</v>
      </c>
      <c r="Z344">
        <v>11</v>
      </c>
      <c r="AA344">
        <v>16</v>
      </c>
      <c r="AB344">
        <v>15</v>
      </c>
      <c r="AC344">
        <v>15</v>
      </c>
      <c r="AD344" t="s">
        <v>55</v>
      </c>
      <c r="AE344" t="s">
        <v>45</v>
      </c>
      <c r="AF344" t="s">
        <v>46</v>
      </c>
      <c r="AG344" t="s">
        <v>47</v>
      </c>
      <c r="AH344">
        <v>-1</v>
      </c>
      <c r="AI344" t="s">
        <v>60</v>
      </c>
    </row>
    <row r="345" spans="1:35" x14ac:dyDescent="0.25">
      <c r="A345" t="s">
        <v>35</v>
      </c>
      <c r="B345" t="s">
        <v>36</v>
      </c>
      <c r="C345">
        <v>17</v>
      </c>
      <c r="D345" t="s">
        <v>37</v>
      </c>
      <c r="E345" t="s">
        <v>38</v>
      </c>
      <c r="F345" t="s">
        <v>39</v>
      </c>
      <c r="G345" t="s">
        <v>50</v>
      </c>
      <c r="H345">
        <v>2</v>
      </c>
      <c r="I345">
        <v>2</v>
      </c>
      <c r="J345" t="s">
        <v>41</v>
      </c>
      <c r="K345" t="s">
        <v>41</v>
      </c>
      <c r="L345">
        <v>2</v>
      </c>
      <c r="M345">
        <v>1</v>
      </c>
      <c r="N345" t="s">
        <v>44</v>
      </c>
      <c r="O345" t="s">
        <v>43</v>
      </c>
      <c r="P345" t="s">
        <v>44</v>
      </c>
      <c r="Q345" t="s">
        <v>44</v>
      </c>
      <c r="R345" t="s">
        <v>43</v>
      </c>
      <c r="S345" t="s">
        <v>43</v>
      </c>
      <c r="T345">
        <v>3</v>
      </c>
      <c r="U345">
        <v>1</v>
      </c>
      <c r="V345">
        <v>1</v>
      </c>
      <c r="W345">
        <v>2</v>
      </c>
      <c r="X345">
        <v>4</v>
      </c>
      <c r="Y345">
        <v>1</v>
      </c>
      <c r="Z345">
        <v>0</v>
      </c>
      <c r="AA345">
        <v>9</v>
      </c>
      <c r="AB345">
        <v>8</v>
      </c>
      <c r="AC345">
        <v>0</v>
      </c>
      <c r="AD345" t="s">
        <v>45</v>
      </c>
      <c r="AE345" t="s">
        <v>45</v>
      </c>
      <c r="AF345" t="s">
        <v>52</v>
      </c>
      <c r="AG345" t="s">
        <v>47</v>
      </c>
      <c r="AH345">
        <v>-9</v>
      </c>
      <c r="AI345" t="s">
        <v>60</v>
      </c>
    </row>
    <row r="346" spans="1:35" x14ac:dyDescent="0.25">
      <c r="A346" t="s">
        <v>35</v>
      </c>
      <c r="B346" t="s">
        <v>36</v>
      </c>
      <c r="C346">
        <v>18</v>
      </c>
      <c r="D346" t="s">
        <v>37</v>
      </c>
      <c r="E346" t="s">
        <v>38</v>
      </c>
      <c r="F346" t="s">
        <v>49</v>
      </c>
      <c r="G346" t="s">
        <v>40</v>
      </c>
      <c r="H346">
        <v>2</v>
      </c>
      <c r="I346">
        <v>3</v>
      </c>
      <c r="J346" t="s">
        <v>41</v>
      </c>
      <c r="K346" t="s">
        <v>51</v>
      </c>
      <c r="L346">
        <v>3</v>
      </c>
      <c r="M346">
        <v>1</v>
      </c>
      <c r="N346" t="s">
        <v>44</v>
      </c>
      <c r="O346" t="s">
        <v>43</v>
      </c>
      <c r="P346" t="s">
        <v>44</v>
      </c>
      <c r="Q346" t="s">
        <v>44</v>
      </c>
      <c r="R346" t="s">
        <v>43</v>
      </c>
      <c r="S346" t="s">
        <v>44</v>
      </c>
      <c r="T346">
        <v>3</v>
      </c>
      <c r="U346">
        <v>3</v>
      </c>
      <c r="V346">
        <v>1</v>
      </c>
      <c r="W346">
        <v>2</v>
      </c>
      <c r="X346">
        <v>3</v>
      </c>
      <c r="Y346">
        <v>0</v>
      </c>
      <c r="Z346">
        <v>4</v>
      </c>
      <c r="AA346">
        <v>11</v>
      </c>
      <c r="AB346">
        <v>10</v>
      </c>
      <c r="AC346">
        <v>10</v>
      </c>
      <c r="AD346" t="s">
        <v>46</v>
      </c>
      <c r="AE346" t="s">
        <v>56</v>
      </c>
      <c r="AF346" t="s">
        <v>52</v>
      </c>
      <c r="AG346" t="s">
        <v>57</v>
      </c>
      <c r="AH346">
        <v>-1</v>
      </c>
      <c r="AI346" t="s">
        <v>60</v>
      </c>
    </row>
    <row r="347" spans="1:35" x14ac:dyDescent="0.25">
      <c r="A347" t="s">
        <v>35</v>
      </c>
      <c r="B347" t="s">
        <v>36</v>
      </c>
      <c r="C347">
        <v>18</v>
      </c>
      <c r="D347" t="s">
        <v>37</v>
      </c>
      <c r="E347" t="s">
        <v>38</v>
      </c>
      <c r="F347" t="s">
        <v>49</v>
      </c>
      <c r="G347" t="s">
        <v>40</v>
      </c>
      <c r="H347">
        <v>3</v>
      </c>
      <c r="I347">
        <v>2</v>
      </c>
      <c r="J347" t="s">
        <v>51</v>
      </c>
      <c r="K347" t="s">
        <v>54</v>
      </c>
      <c r="L347">
        <v>3</v>
      </c>
      <c r="M347">
        <v>1</v>
      </c>
      <c r="N347" t="s">
        <v>44</v>
      </c>
      <c r="O347" t="s">
        <v>44</v>
      </c>
      <c r="P347" t="s">
        <v>44</v>
      </c>
      <c r="Q347" t="s">
        <v>44</v>
      </c>
      <c r="R347" t="s">
        <v>43</v>
      </c>
      <c r="S347" t="s">
        <v>43</v>
      </c>
      <c r="T347">
        <v>4</v>
      </c>
      <c r="U347">
        <v>3</v>
      </c>
      <c r="V347">
        <v>2</v>
      </c>
      <c r="W347">
        <v>3</v>
      </c>
      <c r="X347">
        <v>1</v>
      </c>
      <c r="Y347">
        <v>0</v>
      </c>
      <c r="Z347">
        <v>7</v>
      </c>
      <c r="AA347">
        <v>13</v>
      </c>
      <c r="AB347">
        <v>13</v>
      </c>
      <c r="AC347">
        <v>14</v>
      </c>
      <c r="AD347" t="s">
        <v>55</v>
      </c>
      <c r="AE347" t="s">
        <v>56</v>
      </c>
      <c r="AF347" t="s">
        <v>46</v>
      </c>
      <c r="AG347" t="s">
        <v>57</v>
      </c>
      <c r="AH347">
        <v>1</v>
      </c>
      <c r="AI347" t="s">
        <v>48</v>
      </c>
    </row>
    <row r="348" spans="1:35" x14ac:dyDescent="0.25">
      <c r="A348" t="s">
        <v>35</v>
      </c>
      <c r="B348" t="s">
        <v>59</v>
      </c>
      <c r="C348">
        <v>18</v>
      </c>
      <c r="D348" t="s">
        <v>63</v>
      </c>
      <c r="E348" t="s">
        <v>38</v>
      </c>
      <c r="F348" t="s">
        <v>49</v>
      </c>
      <c r="G348" t="s">
        <v>40</v>
      </c>
      <c r="H348">
        <v>4</v>
      </c>
      <c r="I348">
        <v>3</v>
      </c>
      <c r="J348" t="s">
        <v>42</v>
      </c>
      <c r="K348" t="s">
        <v>54</v>
      </c>
      <c r="L348">
        <v>3</v>
      </c>
      <c r="M348">
        <v>1</v>
      </c>
      <c r="N348" t="s">
        <v>44</v>
      </c>
      <c r="O348" t="s">
        <v>44</v>
      </c>
      <c r="P348" t="s">
        <v>44</v>
      </c>
      <c r="Q348" t="s">
        <v>44</v>
      </c>
      <c r="R348" t="s">
        <v>43</v>
      </c>
      <c r="S348" t="s">
        <v>43</v>
      </c>
      <c r="T348">
        <v>3</v>
      </c>
      <c r="U348">
        <v>2</v>
      </c>
      <c r="V348">
        <v>1</v>
      </c>
      <c r="W348">
        <v>2</v>
      </c>
      <c r="X348">
        <v>4</v>
      </c>
      <c r="Y348">
        <v>0</v>
      </c>
      <c r="Z348">
        <v>9</v>
      </c>
      <c r="AA348">
        <v>16</v>
      </c>
      <c r="AB348">
        <v>15</v>
      </c>
      <c r="AC348">
        <v>16</v>
      </c>
      <c r="AD348" t="s">
        <v>55</v>
      </c>
      <c r="AE348" t="s">
        <v>56</v>
      </c>
      <c r="AF348" t="s">
        <v>46</v>
      </c>
      <c r="AG348" t="s">
        <v>57</v>
      </c>
      <c r="AH348">
        <v>0</v>
      </c>
      <c r="AI348" t="s">
        <v>58</v>
      </c>
    </row>
    <row r="349" spans="1:35" x14ac:dyDescent="0.25">
      <c r="A349" t="s">
        <v>35</v>
      </c>
      <c r="B349" t="s">
        <v>59</v>
      </c>
      <c r="C349">
        <v>18</v>
      </c>
      <c r="D349" t="s">
        <v>37</v>
      </c>
      <c r="E349" t="s">
        <v>38</v>
      </c>
      <c r="F349" t="s">
        <v>49</v>
      </c>
      <c r="G349" t="s">
        <v>40</v>
      </c>
      <c r="H349">
        <v>4</v>
      </c>
      <c r="I349">
        <v>3</v>
      </c>
      <c r="J349" t="s">
        <v>42</v>
      </c>
      <c r="K349" t="s">
        <v>51</v>
      </c>
      <c r="L349">
        <v>3</v>
      </c>
      <c r="M349">
        <v>1</v>
      </c>
      <c r="N349" t="s">
        <v>44</v>
      </c>
      <c r="O349" t="s">
        <v>43</v>
      </c>
      <c r="P349" t="s">
        <v>43</v>
      </c>
      <c r="Q349" t="s">
        <v>44</v>
      </c>
      <c r="R349" t="s">
        <v>43</v>
      </c>
      <c r="S349" t="s">
        <v>43</v>
      </c>
      <c r="T349">
        <v>4</v>
      </c>
      <c r="U349">
        <v>5</v>
      </c>
      <c r="V349">
        <v>2</v>
      </c>
      <c r="W349">
        <v>3</v>
      </c>
      <c r="X349">
        <v>5</v>
      </c>
      <c r="Y349">
        <v>0</v>
      </c>
      <c r="Z349">
        <v>0</v>
      </c>
      <c r="AA349">
        <v>10</v>
      </c>
      <c r="AB349">
        <v>10</v>
      </c>
      <c r="AC349">
        <v>9</v>
      </c>
      <c r="AD349" t="s">
        <v>45</v>
      </c>
      <c r="AE349" t="s">
        <v>45</v>
      </c>
      <c r="AF349" t="s">
        <v>52</v>
      </c>
      <c r="AG349" t="s">
        <v>57</v>
      </c>
      <c r="AH349">
        <v>-1</v>
      </c>
      <c r="AI349" t="s">
        <v>60</v>
      </c>
    </row>
    <row r="350" spans="1:35" x14ac:dyDescent="0.25">
      <c r="A350" t="s">
        <v>35</v>
      </c>
      <c r="B350" t="s">
        <v>36</v>
      </c>
      <c r="C350">
        <v>17</v>
      </c>
      <c r="D350" t="s">
        <v>37</v>
      </c>
      <c r="E350" t="s">
        <v>38</v>
      </c>
      <c r="F350" t="s">
        <v>49</v>
      </c>
      <c r="G350" t="s">
        <v>40</v>
      </c>
      <c r="H350">
        <v>4</v>
      </c>
      <c r="I350">
        <v>3</v>
      </c>
      <c r="J350" t="s">
        <v>23</v>
      </c>
      <c r="K350" t="s">
        <v>51</v>
      </c>
      <c r="L350">
        <v>3</v>
      </c>
      <c r="M350">
        <v>1</v>
      </c>
      <c r="N350" t="s">
        <v>44</v>
      </c>
      <c r="O350" t="s">
        <v>43</v>
      </c>
      <c r="P350" t="s">
        <v>43</v>
      </c>
      <c r="Q350" t="s">
        <v>43</v>
      </c>
      <c r="R350" t="s">
        <v>43</v>
      </c>
      <c r="S350" t="s">
        <v>43</v>
      </c>
      <c r="T350">
        <v>4</v>
      </c>
      <c r="U350">
        <v>3</v>
      </c>
      <c r="V350">
        <v>1</v>
      </c>
      <c r="W350">
        <v>3</v>
      </c>
      <c r="X350">
        <v>4</v>
      </c>
      <c r="Y350">
        <v>0</v>
      </c>
      <c r="Z350">
        <v>0</v>
      </c>
      <c r="AA350">
        <v>13</v>
      </c>
      <c r="AB350">
        <v>15</v>
      </c>
      <c r="AC350">
        <v>15</v>
      </c>
      <c r="AD350" t="s">
        <v>55</v>
      </c>
      <c r="AE350" t="s">
        <v>56</v>
      </c>
      <c r="AF350" t="s">
        <v>52</v>
      </c>
      <c r="AG350" t="s">
        <v>57</v>
      </c>
      <c r="AH350">
        <v>2</v>
      </c>
      <c r="AI350" t="s">
        <v>48</v>
      </c>
    </row>
    <row r="351" spans="1:35" x14ac:dyDescent="0.25">
      <c r="A351" t="s">
        <v>65</v>
      </c>
      <c r="B351" t="s">
        <v>59</v>
      </c>
      <c r="C351">
        <v>18</v>
      </c>
      <c r="D351" t="s">
        <v>63</v>
      </c>
      <c r="E351" t="s">
        <v>38</v>
      </c>
      <c r="F351" t="s">
        <v>49</v>
      </c>
      <c r="G351" t="s">
        <v>40</v>
      </c>
      <c r="H351">
        <v>3</v>
      </c>
      <c r="I351">
        <v>2</v>
      </c>
      <c r="J351" t="s">
        <v>51</v>
      </c>
      <c r="K351" t="s">
        <v>51</v>
      </c>
      <c r="L351">
        <v>1</v>
      </c>
      <c r="M351">
        <v>2</v>
      </c>
      <c r="N351" t="s">
        <v>44</v>
      </c>
      <c r="O351" t="s">
        <v>43</v>
      </c>
      <c r="P351" t="s">
        <v>44</v>
      </c>
      <c r="Q351" t="s">
        <v>44</v>
      </c>
      <c r="R351" t="s">
        <v>43</v>
      </c>
      <c r="S351" t="s">
        <v>44</v>
      </c>
      <c r="T351">
        <v>5</v>
      </c>
      <c r="U351">
        <v>5</v>
      </c>
      <c r="V351">
        <v>5</v>
      </c>
      <c r="W351">
        <v>5</v>
      </c>
      <c r="X351">
        <v>5</v>
      </c>
      <c r="Y351">
        <v>1</v>
      </c>
      <c r="Z351">
        <v>10</v>
      </c>
      <c r="AA351">
        <v>11</v>
      </c>
      <c r="AB351">
        <v>13</v>
      </c>
      <c r="AC351">
        <v>13</v>
      </c>
      <c r="AD351" t="s">
        <v>46</v>
      </c>
      <c r="AE351" t="s">
        <v>45</v>
      </c>
      <c r="AF351" t="s">
        <v>46</v>
      </c>
      <c r="AG351" t="s">
        <v>61</v>
      </c>
      <c r="AH351">
        <v>2</v>
      </c>
      <c r="AI351" t="s">
        <v>48</v>
      </c>
    </row>
    <row r="352" spans="1:35" x14ac:dyDescent="0.25">
      <c r="A352" t="s">
        <v>65</v>
      </c>
      <c r="B352" t="s">
        <v>59</v>
      </c>
      <c r="C352">
        <v>19</v>
      </c>
      <c r="D352" t="s">
        <v>63</v>
      </c>
      <c r="E352" t="s">
        <v>38</v>
      </c>
      <c r="F352" t="s">
        <v>49</v>
      </c>
      <c r="G352" t="s">
        <v>51</v>
      </c>
      <c r="H352">
        <v>1</v>
      </c>
      <c r="I352">
        <v>1</v>
      </c>
      <c r="J352" t="s">
        <v>51</v>
      </c>
      <c r="K352" t="s">
        <v>54</v>
      </c>
      <c r="L352">
        <v>2</v>
      </c>
      <c r="M352">
        <v>3</v>
      </c>
      <c r="N352" t="s">
        <v>44</v>
      </c>
      <c r="O352" t="s">
        <v>44</v>
      </c>
      <c r="P352" t="s">
        <v>44</v>
      </c>
      <c r="Q352" t="s">
        <v>44</v>
      </c>
      <c r="R352" t="s">
        <v>43</v>
      </c>
      <c r="S352" t="s">
        <v>44</v>
      </c>
      <c r="T352">
        <v>4</v>
      </c>
      <c r="U352">
        <v>4</v>
      </c>
      <c r="V352">
        <v>3</v>
      </c>
      <c r="W352">
        <v>3</v>
      </c>
      <c r="X352">
        <v>2</v>
      </c>
      <c r="Y352">
        <v>3</v>
      </c>
      <c r="Z352">
        <v>8</v>
      </c>
      <c r="AA352">
        <v>8</v>
      </c>
      <c r="AB352">
        <v>7</v>
      </c>
      <c r="AC352">
        <v>8</v>
      </c>
      <c r="AD352" t="s">
        <v>45</v>
      </c>
      <c r="AE352" t="s">
        <v>45</v>
      </c>
      <c r="AF352" t="s">
        <v>46</v>
      </c>
      <c r="AG352" t="s">
        <v>47</v>
      </c>
      <c r="AH352">
        <v>0</v>
      </c>
      <c r="AI352" t="s">
        <v>58</v>
      </c>
    </row>
    <row r="353" spans="1:35" x14ac:dyDescent="0.25">
      <c r="A353" t="s">
        <v>65</v>
      </c>
      <c r="B353" t="s">
        <v>59</v>
      </c>
      <c r="C353">
        <v>17</v>
      </c>
      <c r="D353" t="s">
        <v>37</v>
      </c>
      <c r="E353" t="s">
        <v>38</v>
      </c>
      <c r="F353" t="s">
        <v>49</v>
      </c>
      <c r="G353" t="s">
        <v>40</v>
      </c>
      <c r="H353">
        <v>3</v>
      </c>
      <c r="I353">
        <v>3</v>
      </c>
      <c r="J353" t="s">
        <v>23</v>
      </c>
      <c r="K353" t="s">
        <v>51</v>
      </c>
      <c r="L353">
        <v>2</v>
      </c>
      <c r="M353">
        <v>2</v>
      </c>
      <c r="N353" t="s">
        <v>44</v>
      </c>
      <c r="O353" t="s">
        <v>43</v>
      </c>
      <c r="P353" t="s">
        <v>43</v>
      </c>
      <c r="Q353" t="s">
        <v>44</v>
      </c>
      <c r="R353" t="s">
        <v>43</v>
      </c>
      <c r="S353" t="s">
        <v>44</v>
      </c>
      <c r="T353">
        <v>5</v>
      </c>
      <c r="U353">
        <v>4</v>
      </c>
      <c r="V353">
        <v>2</v>
      </c>
      <c r="W353">
        <v>3</v>
      </c>
      <c r="X353">
        <v>3</v>
      </c>
      <c r="Y353">
        <v>0</v>
      </c>
      <c r="Z353">
        <v>2</v>
      </c>
      <c r="AA353">
        <v>13</v>
      </c>
      <c r="AB353">
        <v>13</v>
      </c>
      <c r="AC353">
        <v>13</v>
      </c>
      <c r="AD353" t="s">
        <v>46</v>
      </c>
      <c r="AE353" t="s">
        <v>56</v>
      </c>
      <c r="AF353" t="s">
        <v>52</v>
      </c>
      <c r="AG353" t="s">
        <v>47</v>
      </c>
      <c r="AH353">
        <v>0</v>
      </c>
      <c r="AI353" t="s">
        <v>58</v>
      </c>
    </row>
    <row r="354" spans="1:35" x14ac:dyDescent="0.25">
      <c r="A354" t="s">
        <v>65</v>
      </c>
      <c r="B354" t="s">
        <v>59</v>
      </c>
      <c r="C354">
        <v>18</v>
      </c>
      <c r="D354" t="s">
        <v>37</v>
      </c>
      <c r="E354" t="s">
        <v>53</v>
      </c>
      <c r="F354" t="s">
        <v>49</v>
      </c>
      <c r="G354" t="s">
        <v>40</v>
      </c>
      <c r="H354">
        <v>1</v>
      </c>
      <c r="I354">
        <v>3</v>
      </c>
      <c r="J354" t="s">
        <v>41</v>
      </c>
      <c r="K354" t="s">
        <v>54</v>
      </c>
      <c r="L354">
        <v>1</v>
      </c>
      <c r="M354">
        <v>1</v>
      </c>
      <c r="N354" t="s">
        <v>44</v>
      </c>
      <c r="O354" t="s">
        <v>44</v>
      </c>
      <c r="P354" t="s">
        <v>44</v>
      </c>
      <c r="Q354" t="s">
        <v>44</v>
      </c>
      <c r="R354" t="s">
        <v>43</v>
      </c>
      <c r="S354" t="s">
        <v>43</v>
      </c>
      <c r="T354">
        <v>3</v>
      </c>
      <c r="U354">
        <v>3</v>
      </c>
      <c r="V354">
        <v>2</v>
      </c>
      <c r="W354">
        <v>3</v>
      </c>
      <c r="X354">
        <v>3</v>
      </c>
      <c r="Y354">
        <v>1</v>
      </c>
      <c r="Z354">
        <v>7</v>
      </c>
      <c r="AA354">
        <v>8</v>
      </c>
      <c r="AB354">
        <v>7</v>
      </c>
      <c r="AC354">
        <v>8</v>
      </c>
      <c r="AD354" t="s">
        <v>45</v>
      </c>
      <c r="AE354" t="s">
        <v>45</v>
      </c>
      <c r="AF354" t="s">
        <v>46</v>
      </c>
      <c r="AG354" t="s">
        <v>61</v>
      </c>
      <c r="AH354">
        <v>0</v>
      </c>
      <c r="AI354" t="s">
        <v>58</v>
      </c>
    </row>
    <row r="355" spans="1:35" x14ac:dyDescent="0.25">
      <c r="A355" t="s">
        <v>65</v>
      </c>
      <c r="B355" t="s">
        <v>59</v>
      </c>
      <c r="C355">
        <v>19</v>
      </c>
      <c r="D355" t="s">
        <v>63</v>
      </c>
      <c r="E355" t="s">
        <v>38</v>
      </c>
      <c r="F355" t="s">
        <v>49</v>
      </c>
      <c r="G355" t="s">
        <v>51</v>
      </c>
      <c r="H355">
        <v>1</v>
      </c>
      <c r="I355">
        <v>1</v>
      </c>
      <c r="J355" t="s">
        <v>51</v>
      </c>
      <c r="K355" t="s">
        <v>51</v>
      </c>
      <c r="L355">
        <v>1</v>
      </c>
      <c r="M355">
        <v>3</v>
      </c>
      <c r="N355" t="s">
        <v>44</v>
      </c>
      <c r="O355" t="s">
        <v>43</v>
      </c>
      <c r="P355" t="s">
        <v>44</v>
      </c>
      <c r="Q355" t="s">
        <v>44</v>
      </c>
      <c r="R355" t="s">
        <v>43</v>
      </c>
      <c r="S355" t="s">
        <v>44</v>
      </c>
      <c r="T355">
        <v>4</v>
      </c>
      <c r="U355">
        <v>4</v>
      </c>
      <c r="V355">
        <v>3</v>
      </c>
      <c r="W355">
        <v>3</v>
      </c>
      <c r="X355">
        <v>5</v>
      </c>
      <c r="Y355">
        <v>1</v>
      </c>
      <c r="Z355">
        <v>4</v>
      </c>
      <c r="AA355">
        <v>8</v>
      </c>
      <c r="AB355">
        <v>8</v>
      </c>
      <c r="AC355">
        <v>8</v>
      </c>
      <c r="AD355" t="s">
        <v>45</v>
      </c>
      <c r="AE355" t="s">
        <v>45</v>
      </c>
      <c r="AF355" t="s">
        <v>52</v>
      </c>
      <c r="AG355" t="s">
        <v>61</v>
      </c>
      <c r="AH355">
        <v>0</v>
      </c>
      <c r="AI355" t="s">
        <v>58</v>
      </c>
    </row>
    <row r="356" spans="1:35" x14ac:dyDescent="0.25">
      <c r="A356" t="s">
        <v>65</v>
      </c>
      <c r="B356" t="s">
        <v>59</v>
      </c>
      <c r="C356">
        <v>17</v>
      </c>
      <c r="D356" t="s">
        <v>63</v>
      </c>
      <c r="E356" t="s">
        <v>38</v>
      </c>
      <c r="F356" t="s">
        <v>49</v>
      </c>
      <c r="G356" t="s">
        <v>40</v>
      </c>
      <c r="H356">
        <v>4</v>
      </c>
      <c r="I356">
        <v>3</v>
      </c>
      <c r="J356" t="s">
        <v>54</v>
      </c>
      <c r="K356" t="s">
        <v>51</v>
      </c>
      <c r="L356">
        <v>2</v>
      </c>
      <c r="M356">
        <v>2</v>
      </c>
      <c r="N356" t="s">
        <v>44</v>
      </c>
      <c r="O356" t="s">
        <v>43</v>
      </c>
      <c r="P356" t="s">
        <v>43</v>
      </c>
      <c r="Q356" t="s">
        <v>43</v>
      </c>
      <c r="R356" t="s">
        <v>43</v>
      </c>
      <c r="S356" t="s">
        <v>43</v>
      </c>
      <c r="T356">
        <v>5</v>
      </c>
      <c r="U356">
        <v>5</v>
      </c>
      <c r="V356">
        <v>1</v>
      </c>
      <c r="W356">
        <v>3</v>
      </c>
      <c r="X356">
        <v>2</v>
      </c>
      <c r="Y356">
        <v>0</v>
      </c>
      <c r="Z356">
        <v>4</v>
      </c>
      <c r="AA356">
        <v>13</v>
      </c>
      <c r="AB356">
        <v>11</v>
      </c>
      <c r="AC356">
        <v>11</v>
      </c>
      <c r="AD356" t="s">
        <v>46</v>
      </c>
      <c r="AE356" t="s">
        <v>56</v>
      </c>
      <c r="AF356" t="s">
        <v>52</v>
      </c>
      <c r="AG356" t="s">
        <v>47</v>
      </c>
      <c r="AH356">
        <v>-2</v>
      </c>
      <c r="AI356" t="s">
        <v>60</v>
      </c>
    </row>
    <row r="357" spans="1:35" x14ac:dyDescent="0.25">
      <c r="A357" t="s">
        <v>65</v>
      </c>
      <c r="B357" t="s">
        <v>36</v>
      </c>
      <c r="C357">
        <v>18</v>
      </c>
      <c r="D357" t="s">
        <v>37</v>
      </c>
      <c r="E357" t="s">
        <v>38</v>
      </c>
      <c r="F357" t="s">
        <v>49</v>
      </c>
      <c r="G357" t="s">
        <v>50</v>
      </c>
      <c r="H357">
        <v>3</v>
      </c>
      <c r="I357">
        <v>3</v>
      </c>
      <c r="J357" t="s">
        <v>54</v>
      </c>
      <c r="K357" t="s">
        <v>54</v>
      </c>
      <c r="L357">
        <v>2</v>
      </c>
      <c r="M357">
        <v>1</v>
      </c>
      <c r="N357" t="s">
        <v>44</v>
      </c>
      <c r="O357" t="s">
        <v>43</v>
      </c>
      <c r="P357" t="s">
        <v>44</v>
      </c>
      <c r="Q357" t="s">
        <v>44</v>
      </c>
      <c r="R357" t="s">
        <v>44</v>
      </c>
      <c r="S357" t="s">
        <v>43</v>
      </c>
      <c r="T357">
        <v>3</v>
      </c>
      <c r="U357">
        <v>4</v>
      </c>
      <c r="V357">
        <v>1</v>
      </c>
      <c r="W357">
        <v>1</v>
      </c>
      <c r="X357">
        <v>5</v>
      </c>
      <c r="Y357">
        <v>0</v>
      </c>
      <c r="Z357">
        <v>0</v>
      </c>
      <c r="AA357">
        <v>10</v>
      </c>
      <c r="AB357">
        <v>9</v>
      </c>
      <c r="AC357">
        <v>9</v>
      </c>
      <c r="AD357" t="s">
        <v>45</v>
      </c>
      <c r="AE357" t="s">
        <v>45</v>
      </c>
      <c r="AF357" t="s">
        <v>52</v>
      </c>
      <c r="AG357" t="s">
        <v>47</v>
      </c>
      <c r="AH357">
        <v>-1</v>
      </c>
      <c r="AI357" t="s">
        <v>60</v>
      </c>
    </row>
    <row r="358" spans="1:35" x14ac:dyDescent="0.25">
      <c r="A358" t="s">
        <v>65</v>
      </c>
      <c r="B358" t="s">
        <v>36</v>
      </c>
      <c r="C358">
        <v>17</v>
      </c>
      <c r="D358" t="s">
        <v>63</v>
      </c>
      <c r="E358" t="s">
        <v>38</v>
      </c>
      <c r="F358" t="s">
        <v>49</v>
      </c>
      <c r="G358" t="s">
        <v>50</v>
      </c>
      <c r="H358">
        <v>4</v>
      </c>
      <c r="I358">
        <v>4</v>
      </c>
      <c r="J358" t="s">
        <v>42</v>
      </c>
      <c r="K358" t="s">
        <v>54</v>
      </c>
      <c r="L358">
        <v>2</v>
      </c>
      <c r="M358">
        <v>2</v>
      </c>
      <c r="N358" t="s">
        <v>44</v>
      </c>
      <c r="O358" t="s">
        <v>43</v>
      </c>
      <c r="P358" t="s">
        <v>43</v>
      </c>
      <c r="Q358" t="s">
        <v>43</v>
      </c>
      <c r="R358" t="s">
        <v>43</v>
      </c>
      <c r="S358" t="s">
        <v>44</v>
      </c>
      <c r="T358">
        <v>3</v>
      </c>
      <c r="U358">
        <v>3</v>
      </c>
      <c r="V358">
        <v>1</v>
      </c>
      <c r="W358">
        <v>2</v>
      </c>
      <c r="X358">
        <v>5</v>
      </c>
      <c r="Y358">
        <v>0</v>
      </c>
      <c r="Z358">
        <v>4</v>
      </c>
      <c r="AA358">
        <v>12</v>
      </c>
      <c r="AB358">
        <v>13</v>
      </c>
      <c r="AC358">
        <v>13</v>
      </c>
      <c r="AD358" t="s">
        <v>46</v>
      </c>
      <c r="AE358" t="s">
        <v>56</v>
      </c>
      <c r="AF358" t="s">
        <v>52</v>
      </c>
      <c r="AG358" t="s">
        <v>47</v>
      </c>
      <c r="AH358">
        <v>1</v>
      </c>
      <c r="AI358" t="s">
        <v>48</v>
      </c>
    </row>
    <row r="359" spans="1:35" x14ac:dyDescent="0.25">
      <c r="A359" t="s">
        <v>65</v>
      </c>
      <c r="B359" t="s">
        <v>36</v>
      </c>
      <c r="C359">
        <v>17</v>
      </c>
      <c r="D359" t="s">
        <v>37</v>
      </c>
      <c r="E359" t="s">
        <v>53</v>
      </c>
      <c r="F359" t="s">
        <v>39</v>
      </c>
      <c r="G359" t="s">
        <v>40</v>
      </c>
      <c r="H359">
        <v>3</v>
      </c>
      <c r="I359">
        <v>2</v>
      </c>
      <c r="J359" t="s">
        <v>54</v>
      </c>
      <c r="K359" t="s">
        <v>51</v>
      </c>
      <c r="L359">
        <v>2</v>
      </c>
      <c r="M359">
        <v>2</v>
      </c>
      <c r="N359" t="s">
        <v>44</v>
      </c>
      <c r="O359" t="s">
        <v>44</v>
      </c>
      <c r="P359" t="s">
        <v>44</v>
      </c>
      <c r="Q359" t="s">
        <v>44</v>
      </c>
      <c r="R359" t="s">
        <v>44</v>
      </c>
      <c r="S359" t="s">
        <v>43</v>
      </c>
      <c r="T359">
        <v>2</v>
      </c>
      <c r="U359">
        <v>3</v>
      </c>
      <c r="V359">
        <v>1</v>
      </c>
      <c r="W359">
        <v>2</v>
      </c>
      <c r="X359">
        <v>5</v>
      </c>
      <c r="Y359">
        <v>0</v>
      </c>
      <c r="Z359">
        <v>2</v>
      </c>
      <c r="AA359">
        <v>12</v>
      </c>
      <c r="AB359">
        <v>12</v>
      </c>
      <c r="AC359">
        <v>11</v>
      </c>
      <c r="AD359" t="s">
        <v>46</v>
      </c>
      <c r="AE359" t="s">
        <v>56</v>
      </c>
      <c r="AF359" t="s">
        <v>52</v>
      </c>
      <c r="AG359" t="s">
        <v>47</v>
      </c>
      <c r="AH359">
        <v>-1</v>
      </c>
      <c r="AI359" t="s">
        <v>60</v>
      </c>
    </row>
    <row r="360" spans="1:35" x14ac:dyDescent="0.25">
      <c r="A360" t="s">
        <v>65</v>
      </c>
      <c r="B360" t="s">
        <v>59</v>
      </c>
      <c r="C360">
        <v>18</v>
      </c>
      <c r="D360" t="s">
        <v>37</v>
      </c>
      <c r="E360" t="s">
        <v>53</v>
      </c>
      <c r="F360" t="s">
        <v>49</v>
      </c>
      <c r="G360" t="s">
        <v>50</v>
      </c>
      <c r="H360">
        <v>1</v>
      </c>
      <c r="I360">
        <v>1</v>
      </c>
      <c r="J360" t="s">
        <v>51</v>
      </c>
      <c r="K360" t="s">
        <v>54</v>
      </c>
      <c r="L360">
        <v>1</v>
      </c>
      <c r="M360">
        <v>2</v>
      </c>
      <c r="N360" t="s">
        <v>44</v>
      </c>
      <c r="O360" t="s">
        <v>44</v>
      </c>
      <c r="P360" t="s">
        <v>44</v>
      </c>
      <c r="Q360" t="s">
        <v>44</v>
      </c>
      <c r="R360" t="s">
        <v>43</v>
      </c>
      <c r="S360" t="s">
        <v>43</v>
      </c>
      <c r="T360">
        <v>3</v>
      </c>
      <c r="U360">
        <v>2</v>
      </c>
      <c r="V360">
        <v>1</v>
      </c>
      <c r="W360">
        <v>2</v>
      </c>
      <c r="X360">
        <v>3</v>
      </c>
      <c r="Y360">
        <v>0</v>
      </c>
      <c r="Z360">
        <v>4</v>
      </c>
      <c r="AA360">
        <v>10</v>
      </c>
      <c r="AB360">
        <v>10</v>
      </c>
      <c r="AC360">
        <v>10</v>
      </c>
      <c r="AD360" t="s">
        <v>46</v>
      </c>
      <c r="AE360" t="s">
        <v>56</v>
      </c>
      <c r="AF360" t="s">
        <v>52</v>
      </c>
      <c r="AG360" t="s">
        <v>61</v>
      </c>
      <c r="AH360">
        <v>0</v>
      </c>
      <c r="AI360" t="s">
        <v>58</v>
      </c>
    </row>
    <row r="361" spans="1:35" x14ac:dyDescent="0.25">
      <c r="A361" t="s">
        <v>65</v>
      </c>
      <c r="B361" t="s">
        <v>36</v>
      </c>
      <c r="C361">
        <v>18</v>
      </c>
      <c r="D361" t="s">
        <v>37</v>
      </c>
      <c r="E361" t="s">
        <v>53</v>
      </c>
      <c r="F361" t="s">
        <v>49</v>
      </c>
      <c r="G361" t="s">
        <v>50</v>
      </c>
      <c r="H361">
        <v>1</v>
      </c>
      <c r="I361">
        <v>1</v>
      </c>
      <c r="J361" t="s">
        <v>41</v>
      </c>
      <c r="K361" t="s">
        <v>54</v>
      </c>
      <c r="L361">
        <v>3</v>
      </c>
      <c r="M361">
        <v>2</v>
      </c>
      <c r="N361" t="s">
        <v>44</v>
      </c>
      <c r="O361" t="s">
        <v>44</v>
      </c>
      <c r="P361" t="s">
        <v>44</v>
      </c>
      <c r="Q361" t="s">
        <v>44</v>
      </c>
      <c r="R361" t="s">
        <v>43</v>
      </c>
      <c r="S361" t="s">
        <v>44</v>
      </c>
      <c r="T361">
        <v>3</v>
      </c>
      <c r="U361">
        <v>2</v>
      </c>
      <c r="V361">
        <v>1</v>
      </c>
      <c r="W361">
        <v>1</v>
      </c>
      <c r="X361">
        <v>4</v>
      </c>
      <c r="Y361">
        <v>0</v>
      </c>
      <c r="Z361">
        <v>0</v>
      </c>
      <c r="AA361">
        <v>18</v>
      </c>
      <c r="AB361">
        <v>16</v>
      </c>
      <c r="AC361">
        <v>16</v>
      </c>
      <c r="AD361" t="s">
        <v>55</v>
      </c>
      <c r="AE361" t="s">
        <v>56</v>
      </c>
      <c r="AF361" t="s">
        <v>52</v>
      </c>
      <c r="AG361" t="s">
        <v>57</v>
      </c>
      <c r="AH361">
        <v>-2</v>
      </c>
      <c r="AI361" t="s">
        <v>60</v>
      </c>
    </row>
    <row r="362" spans="1:35" x14ac:dyDescent="0.25">
      <c r="A362" t="s">
        <v>65</v>
      </c>
      <c r="B362" t="s">
        <v>36</v>
      </c>
      <c r="C362">
        <v>18</v>
      </c>
      <c r="D362" t="s">
        <v>63</v>
      </c>
      <c r="E362" t="s">
        <v>53</v>
      </c>
      <c r="F362" t="s">
        <v>39</v>
      </c>
      <c r="G362" t="s">
        <v>40</v>
      </c>
      <c r="H362">
        <v>1</v>
      </c>
      <c r="I362">
        <v>4</v>
      </c>
      <c r="J362" t="s">
        <v>41</v>
      </c>
      <c r="K362" t="s">
        <v>51</v>
      </c>
      <c r="L362">
        <v>2</v>
      </c>
      <c r="M362">
        <v>3</v>
      </c>
      <c r="N362" t="s">
        <v>44</v>
      </c>
      <c r="O362" t="s">
        <v>44</v>
      </c>
      <c r="P362" t="s">
        <v>44</v>
      </c>
      <c r="Q362" t="s">
        <v>44</v>
      </c>
      <c r="R362" t="s">
        <v>44</v>
      </c>
      <c r="S362" t="s">
        <v>43</v>
      </c>
      <c r="T362">
        <v>3</v>
      </c>
      <c r="U362">
        <v>4</v>
      </c>
      <c r="V362">
        <v>1</v>
      </c>
      <c r="W362">
        <v>4</v>
      </c>
      <c r="X362">
        <v>5</v>
      </c>
      <c r="Y362">
        <v>0</v>
      </c>
      <c r="Z362">
        <v>0</v>
      </c>
      <c r="AA362">
        <v>13</v>
      </c>
      <c r="AB362">
        <v>13</v>
      </c>
      <c r="AC362">
        <v>13</v>
      </c>
      <c r="AD362" t="s">
        <v>46</v>
      </c>
      <c r="AE362" t="s">
        <v>56</v>
      </c>
      <c r="AF362" t="s">
        <v>52</v>
      </c>
      <c r="AG362" t="s">
        <v>47</v>
      </c>
      <c r="AH362">
        <v>0</v>
      </c>
      <c r="AI362" t="s">
        <v>58</v>
      </c>
    </row>
    <row r="363" spans="1:35" x14ac:dyDescent="0.25">
      <c r="A363" t="s">
        <v>65</v>
      </c>
      <c r="B363" t="s">
        <v>59</v>
      </c>
      <c r="C363">
        <v>18</v>
      </c>
      <c r="D363" t="s">
        <v>63</v>
      </c>
      <c r="E363" t="s">
        <v>53</v>
      </c>
      <c r="F363" t="s">
        <v>49</v>
      </c>
      <c r="G363" t="s">
        <v>40</v>
      </c>
      <c r="H363">
        <v>1</v>
      </c>
      <c r="I363">
        <v>1</v>
      </c>
      <c r="J363" t="s">
        <v>41</v>
      </c>
      <c r="K363" t="s">
        <v>51</v>
      </c>
      <c r="L363">
        <v>2</v>
      </c>
      <c r="M363">
        <v>2</v>
      </c>
      <c r="N363" t="s">
        <v>44</v>
      </c>
      <c r="O363" t="s">
        <v>44</v>
      </c>
      <c r="P363" t="s">
        <v>44</v>
      </c>
      <c r="Q363" t="s">
        <v>43</v>
      </c>
      <c r="R363" t="s">
        <v>44</v>
      </c>
      <c r="S363" t="s">
        <v>44</v>
      </c>
      <c r="T363">
        <v>4</v>
      </c>
      <c r="U363">
        <v>3</v>
      </c>
      <c r="V363">
        <v>2</v>
      </c>
      <c r="W363">
        <v>3</v>
      </c>
      <c r="X363">
        <v>5</v>
      </c>
      <c r="Y363">
        <v>1</v>
      </c>
      <c r="Z363">
        <v>2</v>
      </c>
      <c r="AA363">
        <v>13</v>
      </c>
      <c r="AB363">
        <v>12</v>
      </c>
      <c r="AC363">
        <v>12</v>
      </c>
      <c r="AD363" t="s">
        <v>46</v>
      </c>
      <c r="AE363" t="s">
        <v>45</v>
      </c>
      <c r="AF363" t="s">
        <v>52</v>
      </c>
      <c r="AG363" t="s">
        <v>47</v>
      </c>
      <c r="AH363">
        <v>-1</v>
      </c>
      <c r="AI363" t="s">
        <v>60</v>
      </c>
    </row>
    <row r="364" spans="1:35" x14ac:dyDescent="0.25">
      <c r="A364" t="s">
        <v>65</v>
      </c>
      <c r="B364" t="s">
        <v>36</v>
      </c>
      <c r="C364">
        <v>18</v>
      </c>
      <c r="D364" t="s">
        <v>37</v>
      </c>
      <c r="E364" t="s">
        <v>38</v>
      </c>
      <c r="F364" t="s">
        <v>49</v>
      </c>
      <c r="G364" t="s">
        <v>40</v>
      </c>
      <c r="H364">
        <v>3</v>
      </c>
      <c r="I364">
        <v>3</v>
      </c>
      <c r="J364" t="s">
        <v>54</v>
      </c>
      <c r="K364" t="s">
        <v>54</v>
      </c>
      <c r="L364">
        <v>2</v>
      </c>
      <c r="M364">
        <v>2</v>
      </c>
      <c r="N364" t="s">
        <v>44</v>
      </c>
      <c r="O364" t="s">
        <v>43</v>
      </c>
      <c r="P364" t="s">
        <v>44</v>
      </c>
      <c r="Q364" t="s">
        <v>44</v>
      </c>
      <c r="R364" t="s">
        <v>43</v>
      </c>
      <c r="S364" t="s">
        <v>43</v>
      </c>
      <c r="T364">
        <v>3</v>
      </c>
      <c r="U364">
        <v>2</v>
      </c>
      <c r="V364">
        <v>1</v>
      </c>
      <c r="W364">
        <v>3</v>
      </c>
      <c r="X364">
        <v>3</v>
      </c>
      <c r="Y364">
        <v>0</v>
      </c>
      <c r="Z364">
        <v>0</v>
      </c>
      <c r="AA364">
        <v>11</v>
      </c>
      <c r="AB364">
        <v>11</v>
      </c>
      <c r="AC364">
        <v>10</v>
      </c>
      <c r="AD364" t="s">
        <v>46</v>
      </c>
      <c r="AE364" t="s">
        <v>56</v>
      </c>
      <c r="AF364" t="s">
        <v>52</v>
      </c>
      <c r="AG364" t="s">
        <v>47</v>
      </c>
      <c r="AH364">
        <v>-1</v>
      </c>
      <c r="AI364" t="s">
        <v>60</v>
      </c>
    </row>
    <row r="365" spans="1:35" x14ac:dyDescent="0.25">
      <c r="A365" t="s">
        <v>65</v>
      </c>
      <c r="B365" t="s">
        <v>36</v>
      </c>
      <c r="C365">
        <v>17</v>
      </c>
      <c r="D365" t="s">
        <v>37</v>
      </c>
      <c r="E365" t="s">
        <v>53</v>
      </c>
      <c r="F365" t="s">
        <v>49</v>
      </c>
      <c r="G365" t="s">
        <v>40</v>
      </c>
      <c r="H365">
        <v>4</v>
      </c>
      <c r="I365">
        <v>4</v>
      </c>
      <c r="J365" t="s">
        <v>41</v>
      </c>
      <c r="K365" t="s">
        <v>41</v>
      </c>
      <c r="L365">
        <v>2</v>
      </c>
      <c r="M365">
        <v>1</v>
      </c>
      <c r="N365" t="s">
        <v>44</v>
      </c>
      <c r="O365" t="s">
        <v>43</v>
      </c>
      <c r="P365" t="s">
        <v>43</v>
      </c>
      <c r="Q365" t="s">
        <v>43</v>
      </c>
      <c r="R365" t="s">
        <v>43</v>
      </c>
      <c r="S365" t="s">
        <v>43</v>
      </c>
      <c r="T365">
        <v>3</v>
      </c>
      <c r="U365">
        <v>4</v>
      </c>
      <c r="V365">
        <v>1</v>
      </c>
      <c r="W365">
        <v>1</v>
      </c>
      <c r="X365">
        <v>1</v>
      </c>
      <c r="Y365">
        <v>0</v>
      </c>
      <c r="Z365">
        <v>0</v>
      </c>
      <c r="AA365">
        <v>16</v>
      </c>
      <c r="AB365">
        <v>15</v>
      </c>
      <c r="AC365">
        <v>15</v>
      </c>
      <c r="AD365" t="s">
        <v>55</v>
      </c>
      <c r="AE365" t="s">
        <v>56</v>
      </c>
      <c r="AF365" t="s">
        <v>52</v>
      </c>
      <c r="AG365" t="s">
        <v>47</v>
      </c>
      <c r="AH365">
        <v>-1</v>
      </c>
      <c r="AI365" t="s">
        <v>60</v>
      </c>
    </row>
    <row r="366" spans="1:35" x14ac:dyDescent="0.25">
      <c r="A366" t="s">
        <v>65</v>
      </c>
      <c r="B366" t="s">
        <v>36</v>
      </c>
      <c r="C366">
        <v>17</v>
      </c>
      <c r="D366" t="s">
        <v>63</v>
      </c>
      <c r="E366" t="s">
        <v>38</v>
      </c>
      <c r="F366" t="s">
        <v>49</v>
      </c>
      <c r="G366" t="s">
        <v>50</v>
      </c>
      <c r="H366">
        <v>1</v>
      </c>
      <c r="I366">
        <v>2</v>
      </c>
      <c r="J366" t="s">
        <v>51</v>
      </c>
      <c r="K366" t="s">
        <v>54</v>
      </c>
      <c r="L366">
        <v>2</v>
      </c>
      <c r="M366">
        <v>2</v>
      </c>
      <c r="N366" t="s">
        <v>44</v>
      </c>
      <c r="O366" t="s">
        <v>44</v>
      </c>
      <c r="P366" t="s">
        <v>44</v>
      </c>
      <c r="Q366" t="s">
        <v>44</v>
      </c>
      <c r="R366" t="s">
        <v>44</v>
      </c>
      <c r="S366" t="s">
        <v>44</v>
      </c>
      <c r="T366">
        <v>2</v>
      </c>
      <c r="U366">
        <v>2</v>
      </c>
      <c r="V366">
        <v>1</v>
      </c>
      <c r="W366">
        <v>2</v>
      </c>
      <c r="X366">
        <v>3</v>
      </c>
      <c r="Y366">
        <v>0</v>
      </c>
      <c r="Z366">
        <v>0</v>
      </c>
      <c r="AA366">
        <v>12</v>
      </c>
      <c r="AB366">
        <v>11</v>
      </c>
      <c r="AC366">
        <v>12</v>
      </c>
      <c r="AD366" t="s">
        <v>46</v>
      </c>
      <c r="AE366" t="s">
        <v>56</v>
      </c>
      <c r="AF366" t="s">
        <v>52</v>
      </c>
      <c r="AG366" t="s">
        <v>47</v>
      </c>
      <c r="AH366">
        <v>0</v>
      </c>
      <c r="AI366" t="s">
        <v>58</v>
      </c>
    </row>
    <row r="367" spans="1:35" x14ac:dyDescent="0.25">
      <c r="A367" t="s">
        <v>65</v>
      </c>
      <c r="B367" t="s">
        <v>59</v>
      </c>
      <c r="C367">
        <v>18</v>
      </c>
      <c r="D367" t="s">
        <v>63</v>
      </c>
      <c r="E367" t="s">
        <v>38</v>
      </c>
      <c r="F367" t="s">
        <v>49</v>
      </c>
      <c r="G367" t="s">
        <v>40</v>
      </c>
      <c r="H367">
        <v>1</v>
      </c>
      <c r="I367">
        <v>3</v>
      </c>
      <c r="J367" t="s">
        <v>41</v>
      </c>
      <c r="K367" t="s">
        <v>51</v>
      </c>
      <c r="L367">
        <v>2</v>
      </c>
      <c r="M367">
        <v>2</v>
      </c>
      <c r="N367" t="s">
        <v>44</v>
      </c>
      <c r="O367" t="s">
        <v>43</v>
      </c>
      <c r="P367" t="s">
        <v>43</v>
      </c>
      <c r="Q367" t="s">
        <v>44</v>
      </c>
      <c r="R367" t="s">
        <v>44</v>
      </c>
      <c r="S367" t="s">
        <v>44</v>
      </c>
      <c r="T367">
        <v>3</v>
      </c>
      <c r="U367">
        <v>4</v>
      </c>
      <c r="V367">
        <v>2</v>
      </c>
      <c r="W367">
        <v>4</v>
      </c>
      <c r="X367">
        <v>3</v>
      </c>
      <c r="Y367">
        <v>0</v>
      </c>
      <c r="Z367">
        <v>4</v>
      </c>
      <c r="AA367">
        <v>10</v>
      </c>
      <c r="AB367">
        <v>10</v>
      </c>
      <c r="AC367">
        <v>10</v>
      </c>
      <c r="AD367" t="s">
        <v>46</v>
      </c>
      <c r="AE367" t="s">
        <v>56</v>
      </c>
      <c r="AF367" t="s">
        <v>52</v>
      </c>
      <c r="AG367" t="s">
        <v>47</v>
      </c>
      <c r="AH367">
        <v>0</v>
      </c>
      <c r="AI367" t="s">
        <v>58</v>
      </c>
    </row>
    <row r="368" spans="1:35" x14ac:dyDescent="0.25">
      <c r="A368" t="s">
        <v>65</v>
      </c>
      <c r="B368" t="s">
        <v>59</v>
      </c>
      <c r="C368">
        <v>18</v>
      </c>
      <c r="D368" t="s">
        <v>37</v>
      </c>
      <c r="E368" t="s">
        <v>53</v>
      </c>
      <c r="F368" t="s">
        <v>49</v>
      </c>
      <c r="G368" t="s">
        <v>40</v>
      </c>
      <c r="H368">
        <v>4</v>
      </c>
      <c r="I368">
        <v>4</v>
      </c>
      <c r="J368" t="s">
        <v>42</v>
      </c>
      <c r="K368" t="s">
        <v>54</v>
      </c>
      <c r="L368">
        <v>3</v>
      </c>
      <c r="M368">
        <v>2</v>
      </c>
      <c r="N368" t="s">
        <v>44</v>
      </c>
      <c r="O368" t="s">
        <v>44</v>
      </c>
      <c r="P368" t="s">
        <v>43</v>
      </c>
      <c r="Q368" t="s">
        <v>44</v>
      </c>
      <c r="R368" t="s">
        <v>43</v>
      </c>
      <c r="S368" t="s">
        <v>43</v>
      </c>
      <c r="T368">
        <v>2</v>
      </c>
      <c r="U368">
        <v>2</v>
      </c>
      <c r="V368">
        <v>2</v>
      </c>
      <c r="W368">
        <v>2</v>
      </c>
      <c r="X368">
        <v>5</v>
      </c>
      <c r="Y368">
        <v>0</v>
      </c>
      <c r="Z368">
        <v>0</v>
      </c>
      <c r="AA368">
        <v>13</v>
      </c>
      <c r="AB368">
        <v>13</v>
      </c>
      <c r="AC368">
        <v>13</v>
      </c>
      <c r="AD368" t="s">
        <v>46</v>
      </c>
      <c r="AE368" t="s">
        <v>56</v>
      </c>
      <c r="AF368" t="s">
        <v>52</v>
      </c>
      <c r="AG368" t="s">
        <v>57</v>
      </c>
      <c r="AH368">
        <v>0</v>
      </c>
      <c r="AI368" t="s">
        <v>58</v>
      </c>
    </row>
    <row r="369" spans="1:35" x14ac:dyDescent="0.25">
      <c r="A369" t="s">
        <v>65</v>
      </c>
      <c r="B369" t="s">
        <v>36</v>
      </c>
      <c r="C369">
        <v>17</v>
      </c>
      <c r="D369" t="s">
        <v>63</v>
      </c>
      <c r="E369" t="s">
        <v>38</v>
      </c>
      <c r="F369" t="s">
        <v>49</v>
      </c>
      <c r="G369" t="s">
        <v>40</v>
      </c>
      <c r="H369">
        <v>1</v>
      </c>
      <c r="I369">
        <v>1</v>
      </c>
      <c r="J369" t="s">
        <v>51</v>
      </c>
      <c r="K369" t="s">
        <v>54</v>
      </c>
      <c r="L369">
        <v>1</v>
      </c>
      <c r="M369">
        <v>3</v>
      </c>
      <c r="N369" t="s">
        <v>44</v>
      </c>
      <c r="O369" t="s">
        <v>43</v>
      </c>
      <c r="P369" t="s">
        <v>43</v>
      </c>
      <c r="Q369" t="s">
        <v>44</v>
      </c>
      <c r="R369" t="s">
        <v>43</v>
      </c>
      <c r="S369" t="s">
        <v>43</v>
      </c>
      <c r="T369">
        <v>2</v>
      </c>
      <c r="U369">
        <v>1</v>
      </c>
      <c r="V369">
        <v>1</v>
      </c>
      <c r="W369">
        <v>2</v>
      </c>
      <c r="X369">
        <v>1</v>
      </c>
      <c r="Y369">
        <v>1</v>
      </c>
      <c r="Z369">
        <v>0</v>
      </c>
      <c r="AA369">
        <v>7</v>
      </c>
      <c r="AB369">
        <v>6</v>
      </c>
      <c r="AC369">
        <v>0</v>
      </c>
      <c r="AD369" t="s">
        <v>45</v>
      </c>
      <c r="AE369" t="s">
        <v>45</v>
      </c>
      <c r="AF369" t="s">
        <v>52</v>
      </c>
      <c r="AG369" t="s">
        <v>61</v>
      </c>
      <c r="AH369">
        <v>-7</v>
      </c>
      <c r="AI369" t="s">
        <v>60</v>
      </c>
    </row>
    <row r="370" spans="1:35" x14ac:dyDescent="0.25">
      <c r="A370" t="s">
        <v>65</v>
      </c>
      <c r="B370" t="s">
        <v>36</v>
      </c>
      <c r="C370">
        <v>18</v>
      </c>
      <c r="D370" t="s">
        <v>37</v>
      </c>
      <c r="E370" t="s">
        <v>38</v>
      </c>
      <c r="F370" t="s">
        <v>49</v>
      </c>
      <c r="G370" t="s">
        <v>50</v>
      </c>
      <c r="H370">
        <v>2</v>
      </c>
      <c r="I370">
        <v>3</v>
      </c>
      <c r="J370" t="s">
        <v>41</v>
      </c>
      <c r="K370" t="s">
        <v>54</v>
      </c>
      <c r="L370">
        <v>1</v>
      </c>
      <c r="M370">
        <v>2</v>
      </c>
      <c r="N370" t="s">
        <v>44</v>
      </c>
      <c r="O370" t="s">
        <v>43</v>
      </c>
      <c r="P370" t="s">
        <v>43</v>
      </c>
      <c r="Q370" t="s">
        <v>44</v>
      </c>
      <c r="R370" t="s">
        <v>43</v>
      </c>
      <c r="S370" t="s">
        <v>43</v>
      </c>
      <c r="T370">
        <v>2</v>
      </c>
      <c r="U370">
        <v>3</v>
      </c>
      <c r="V370">
        <v>1</v>
      </c>
      <c r="W370">
        <v>2</v>
      </c>
      <c r="X370">
        <v>4</v>
      </c>
      <c r="Y370">
        <v>0</v>
      </c>
      <c r="Z370">
        <v>0</v>
      </c>
      <c r="AA370">
        <v>11</v>
      </c>
      <c r="AB370">
        <v>10</v>
      </c>
      <c r="AC370">
        <v>10</v>
      </c>
      <c r="AD370" t="s">
        <v>46</v>
      </c>
      <c r="AE370" t="s">
        <v>56</v>
      </c>
      <c r="AF370" t="s">
        <v>52</v>
      </c>
      <c r="AG370" t="s">
        <v>61</v>
      </c>
      <c r="AH370">
        <v>-1</v>
      </c>
      <c r="AI370" t="s">
        <v>60</v>
      </c>
    </row>
    <row r="371" spans="1:35" x14ac:dyDescent="0.25">
      <c r="A371" t="s">
        <v>65</v>
      </c>
      <c r="B371" t="s">
        <v>36</v>
      </c>
      <c r="C371">
        <v>18</v>
      </c>
      <c r="D371" t="s">
        <v>63</v>
      </c>
      <c r="E371" t="s">
        <v>38</v>
      </c>
      <c r="F371" t="s">
        <v>49</v>
      </c>
      <c r="G371" t="s">
        <v>50</v>
      </c>
      <c r="H371">
        <v>4</v>
      </c>
      <c r="I371">
        <v>4</v>
      </c>
      <c r="J371" t="s">
        <v>51</v>
      </c>
      <c r="K371" t="s">
        <v>42</v>
      </c>
      <c r="L371">
        <v>2</v>
      </c>
      <c r="M371">
        <v>3</v>
      </c>
      <c r="N371" t="s">
        <v>44</v>
      </c>
      <c r="O371" t="s">
        <v>43</v>
      </c>
      <c r="P371" t="s">
        <v>43</v>
      </c>
      <c r="Q371" t="s">
        <v>44</v>
      </c>
      <c r="R371" t="s">
        <v>43</v>
      </c>
      <c r="S371" t="s">
        <v>43</v>
      </c>
      <c r="T371">
        <v>2</v>
      </c>
      <c r="U371">
        <v>2</v>
      </c>
      <c r="V371">
        <v>4</v>
      </c>
      <c r="W371">
        <v>2</v>
      </c>
      <c r="X371">
        <v>5</v>
      </c>
      <c r="Y371">
        <v>0</v>
      </c>
      <c r="Z371">
        <v>10</v>
      </c>
      <c r="AA371">
        <v>14</v>
      </c>
      <c r="AB371">
        <v>12</v>
      </c>
      <c r="AC371">
        <v>11</v>
      </c>
      <c r="AD371" t="s">
        <v>46</v>
      </c>
      <c r="AE371" t="s">
        <v>56</v>
      </c>
      <c r="AF371" t="s">
        <v>46</v>
      </c>
      <c r="AG371" t="s">
        <v>47</v>
      </c>
      <c r="AH371">
        <v>-3</v>
      </c>
      <c r="AI371" t="s">
        <v>60</v>
      </c>
    </row>
    <row r="372" spans="1:35" x14ac:dyDescent="0.25">
      <c r="A372" t="s">
        <v>65</v>
      </c>
      <c r="B372" t="s">
        <v>36</v>
      </c>
      <c r="C372">
        <v>19</v>
      </c>
      <c r="D372" t="s">
        <v>37</v>
      </c>
      <c r="E372" t="s">
        <v>53</v>
      </c>
      <c r="F372" t="s">
        <v>49</v>
      </c>
      <c r="G372" t="s">
        <v>51</v>
      </c>
      <c r="H372">
        <v>3</v>
      </c>
      <c r="I372">
        <v>2</v>
      </c>
      <c r="J372" t="s">
        <v>54</v>
      </c>
      <c r="K372" t="s">
        <v>54</v>
      </c>
      <c r="L372">
        <v>2</v>
      </c>
      <c r="M372">
        <v>2</v>
      </c>
      <c r="N372" t="s">
        <v>44</v>
      </c>
      <c r="O372" t="s">
        <v>44</v>
      </c>
      <c r="P372" t="s">
        <v>44</v>
      </c>
      <c r="Q372" t="s">
        <v>43</v>
      </c>
      <c r="R372" t="s">
        <v>44</v>
      </c>
      <c r="S372" t="s">
        <v>43</v>
      </c>
      <c r="T372">
        <v>2</v>
      </c>
      <c r="U372">
        <v>2</v>
      </c>
      <c r="V372">
        <v>1</v>
      </c>
      <c r="W372">
        <v>1</v>
      </c>
      <c r="X372">
        <v>3</v>
      </c>
      <c r="Y372">
        <v>2</v>
      </c>
      <c r="Z372">
        <v>4</v>
      </c>
      <c r="AA372">
        <v>7</v>
      </c>
      <c r="AB372">
        <v>7</v>
      </c>
      <c r="AC372">
        <v>9</v>
      </c>
      <c r="AD372" t="s">
        <v>45</v>
      </c>
      <c r="AE372" t="s">
        <v>45</v>
      </c>
      <c r="AF372" t="s">
        <v>52</v>
      </c>
      <c r="AG372" t="s">
        <v>47</v>
      </c>
      <c r="AH372">
        <v>2</v>
      </c>
      <c r="AI372" t="s">
        <v>48</v>
      </c>
    </row>
    <row r="373" spans="1:35" x14ac:dyDescent="0.25">
      <c r="A373" t="s">
        <v>65</v>
      </c>
      <c r="B373" t="s">
        <v>59</v>
      </c>
      <c r="C373">
        <v>18</v>
      </c>
      <c r="D373" t="s">
        <v>63</v>
      </c>
      <c r="E373" t="s">
        <v>53</v>
      </c>
      <c r="F373" t="s">
        <v>49</v>
      </c>
      <c r="G373" t="s">
        <v>50</v>
      </c>
      <c r="H373">
        <v>1</v>
      </c>
      <c r="I373">
        <v>2</v>
      </c>
      <c r="J373" t="s">
        <v>41</v>
      </c>
      <c r="K373" t="s">
        <v>54</v>
      </c>
      <c r="L373">
        <v>1</v>
      </c>
      <c r="M373">
        <v>3</v>
      </c>
      <c r="N373" t="s">
        <v>44</v>
      </c>
      <c r="O373" t="s">
        <v>43</v>
      </c>
      <c r="P373" t="s">
        <v>43</v>
      </c>
      <c r="Q373" t="s">
        <v>43</v>
      </c>
      <c r="R373" t="s">
        <v>43</v>
      </c>
      <c r="S373" t="s">
        <v>43</v>
      </c>
      <c r="T373">
        <v>3</v>
      </c>
      <c r="U373">
        <v>3</v>
      </c>
      <c r="V373">
        <v>2</v>
      </c>
      <c r="W373">
        <v>3</v>
      </c>
      <c r="X373">
        <v>3</v>
      </c>
      <c r="Y373">
        <v>0</v>
      </c>
      <c r="Z373">
        <v>3</v>
      </c>
      <c r="AA373">
        <v>14</v>
      </c>
      <c r="AB373">
        <v>12</v>
      </c>
      <c r="AC373">
        <v>12</v>
      </c>
      <c r="AD373" t="s">
        <v>46</v>
      </c>
      <c r="AE373" t="s">
        <v>56</v>
      </c>
      <c r="AF373" t="s">
        <v>52</v>
      </c>
      <c r="AG373" t="s">
        <v>61</v>
      </c>
      <c r="AH373">
        <v>-2</v>
      </c>
      <c r="AI373" t="s">
        <v>60</v>
      </c>
    </row>
    <row r="374" spans="1:35" x14ac:dyDescent="0.25">
      <c r="A374" t="s">
        <v>65</v>
      </c>
      <c r="B374" t="s">
        <v>36</v>
      </c>
      <c r="C374">
        <v>17</v>
      </c>
      <c r="D374" t="s">
        <v>37</v>
      </c>
      <c r="E374" t="s">
        <v>38</v>
      </c>
      <c r="F374" t="s">
        <v>49</v>
      </c>
      <c r="G374" t="s">
        <v>40</v>
      </c>
      <c r="H374">
        <v>2</v>
      </c>
      <c r="I374">
        <v>2</v>
      </c>
      <c r="J374" t="s">
        <v>51</v>
      </c>
      <c r="K374" t="s">
        <v>41</v>
      </c>
      <c r="L374">
        <v>3</v>
      </c>
      <c r="M374">
        <v>1</v>
      </c>
      <c r="N374" t="s">
        <v>44</v>
      </c>
      <c r="O374" t="s">
        <v>44</v>
      </c>
      <c r="P374" t="s">
        <v>44</v>
      </c>
      <c r="Q374" t="s">
        <v>43</v>
      </c>
      <c r="R374" t="s">
        <v>44</v>
      </c>
      <c r="S374" t="s">
        <v>43</v>
      </c>
      <c r="T374">
        <v>4</v>
      </c>
      <c r="U374">
        <v>3</v>
      </c>
      <c r="V374">
        <v>1</v>
      </c>
      <c r="W374">
        <v>1</v>
      </c>
      <c r="X374">
        <v>3</v>
      </c>
      <c r="Y374">
        <v>0</v>
      </c>
      <c r="Z374">
        <v>8</v>
      </c>
      <c r="AA374">
        <v>13</v>
      </c>
      <c r="AB374">
        <v>11</v>
      </c>
      <c r="AC374">
        <v>11</v>
      </c>
      <c r="AD374" t="s">
        <v>46</v>
      </c>
      <c r="AE374" t="s">
        <v>56</v>
      </c>
      <c r="AF374" t="s">
        <v>46</v>
      </c>
      <c r="AG374" t="s">
        <v>57</v>
      </c>
      <c r="AH374">
        <v>-2</v>
      </c>
      <c r="AI374" t="s">
        <v>60</v>
      </c>
    </row>
    <row r="375" spans="1:35" x14ac:dyDescent="0.25">
      <c r="A375" t="s">
        <v>65</v>
      </c>
      <c r="B375" t="s">
        <v>36</v>
      </c>
      <c r="C375">
        <v>17</v>
      </c>
      <c r="D375" t="s">
        <v>63</v>
      </c>
      <c r="E375" t="s">
        <v>38</v>
      </c>
      <c r="F375" t="s">
        <v>49</v>
      </c>
      <c r="G375" t="s">
        <v>40</v>
      </c>
      <c r="H375">
        <v>1</v>
      </c>
      <c r="I375">
        <v>2</v>
      </c>
      <c r="J375" t="s">
        <v>51</v>
      </c>
      <c r="K375" t="s">
        <v>51</v>
      </c>
      <c r="L375">
        <v>1</v>
      </c>
      <c r="M375">
        <v>1</v>
      </c>
      <c r="N375" t="s">
        <v>44</v>
      </c>
      <c r="O375" t="s">
        <v>44</v>
      </c>
      <c r="P375" t="s">
        <v>44</v>
      </c>
      <c r="Q375" t="s">
        <v>43</v>
      </c>
      <c r="R375" t="s">
        <v>43</v>
      </c>
      <c r="S375" t="s">
        <v>44</v>
      </c>
      <c r="T375">
        <v>5</v>
      </c>
      <c r="U375">
        <v>5</v>
      </c>
      <c r="V375">
        <v>1</v>
      </c>
      <c r="W375">
        <v>3</v>
      </c>
      <c r="X375">
        <v>1</v>
      </c>
      <c r="Y375">
        <v>0</v>
      </c>
      <c r="Z375">
        <v>14</v>
      </c>
      <c r="AA375">
        <v>6</v>
      </c>
      <c r="AB375">
        <v>5</v>
      </c>
      <c r="AC375">
        <v>5</v>
      </c>
      <c r="AD375" t="s">
        <v>45</v>
      </c>
      <c r="AE375" t="s">
        <v>45</v>
      </c>
      <c r="AF375" t="s">
        <v>46</v>
      </c>
      <c r="AG375" t="s">
        <v>61</v>
      </c>
      <c r="AH375">
        <v>-1</v>
      </c>
      <c r="AI375" t="s">
        <v>60</v>
      </c>
    </row>
    <row r="376" spans="1:35" x14ac:dyDescent="0.25">
      <c r="A376" t="s">
        <v>65</v>
      </c>
      <c r="B376" t="s">
        <v>36</v>
      </c>
      <c r="C376">
        <v>18</v>
      </c>
      <c r="D376" t="s">
        <v>63</v>
      </c>
      <c r="E376" t="s">
        <v>53</v>
      </c>
      <c r="F376" t="s">
        <v>49</v>
      </c>
      <c r="G376" t="s">
        <v>40</v>
      </c>
      <c r="H376">
        <v>4</v>
      </c>
      <c r="I376">
        <v>4</v>
      </c>
      <c r="J376" t="s">
        <v>51</v>
      </c>
      <c r="K376" t="s">
        <v>51</v>
      </c>
      <c r="L376">
        <v>3</v>
      </c>
      <c r="M376">
        <v>2</v>
      </c>
      <c r="N376" t="s">
        <v>44</v>
      </c>
      <c r="O376" t="s">
        <v>44</v>
      </c>
      <c r="P376" t="s">
        <v>44</v>
      </c>
      <c r="Q376" t="s">
        <v>44</v>
      </c>
      <c r="R376" t="s">
        <v>43</v>
      </c>
      <c r="S376" t="s">
        <v>44</v>
      </c>
      <c r="T376">
        <v>4</v>
      </c>
      <c r="U376">
        <v>4</v>
      </c>
      <c r="V376">
        <v>1</v>
      </c>
      <c r="W376">
        <v>1</v>
      </c>
      <c r="X376">
        <v>1</v>
      </c>
      <c r="Y376">
        <v>0</v>
      </c>
      <c r="Z376">
        <v>0</v>
      </c>
      <c r="AA376">
        <v>19</v>
      </c>
      <c r="AB376">
        <v>18</v>
      </c>
      <c r="AC376">
        <v>19</v>
      </c>
      <c r="AD376" t="s">
        <v>55</v>
      </c>
      <c r="AE376" t="s">
        <v>56</v>
      </c>
      <c r="AF376" t="s">
        <v>52</v>
      </c>
      <c r="AG376" t="s">
        <v>57</v>
      </c>
      <c r="AH376">
        <v>0</v>
      </c>
      <c r="AI376" t="s">
        <v>58</v>
      </c>
    </row>
    <row r="377" spans="1:35" x14ac:dyDescent="0.25">
      <c r="A377" t="s">
        <v>65</v>
      </c>
      <c r="B377" t="s">
        <v>36</v>
      </c>
      <c r="C377">
        <v>18</v>
      </c>
      <c r="D377" t="s">
        <v>63</v>
      </c>
      <c r="E377" t="s">
        <v>38</v>
      </c>
      <c r="F377" t="s">
        <v>49</v>
      </c>
      <c r="G377" t="s">
        <v>40</v>
      </c>
      <c r="H377">
        <v>1</v>
      </c>
      <c r="I377">
        <v>1</v>
      </c>
      <c r="J377" t="s">
        <v>51</v>
      </c>
      <c r="K377" t="s">
        <v>51</v>
      </c>
      <c r="L377">
        <v>3</v>
      </c>
      <c r="M377">
        <v>4</v>
      </c>
      <c r="N377" t="s">
        <v>44</v>
      </c>
      <c r="O377" t="s">
        <v>44</v>
      </c>
      <c r="P377" t="s">
        <v>44</v>
      </c>
      <c r="Q377" t="s">
        <v>44</v>
      </c>
      <c r="R377" t="s">
        <v>43</v>
      </c>
      <c r="S377" t="s">
        <v>44</v>
      </c>
      <c r="T377">
        <v>3</v>
      </c>
      <c r="U377">
        <v>2</v>
      </c>
      <c r="V377">
        <v>1</v>
      </c>
      <c r="W377">
        <v>2</v>
      </c>
      <c r="X377">
        <v>4</v>
      </c>
      <c r="Y377">
        <v>0</v>
      </c>
      <c r="Z377">
        <v>2</v>
      </c>
      <c r="AA377">
        <v>8</v>
      </c>
      <c r="AB377">
        <v>8</v>
      </c>
      <c r="AC377">
        <v>10</v>
      </c>
      <c r="AD377" t="s">
        <v>46</v>
      </c>
      <c r="AE377" t="s">
        <v>56</v>
      </c>
      <c r="AF377" t="s">
        <v>52</v>
      </c>
      <c r="AG377" t="s">
        <v>57</v>
      </c>
      <c r="AH377">
        <v>2</v>
      </c>
      <c r="AI377" t="s">
        <v>48</v>
      </c>
    </row>
    <row r="378" spans="1:35" x14ac:dyDescent="0.25">
      <c r="A378" t="s">
        <v>65</v>
      </c>
      <c r="B378" t="s">
        <v>36</v>
      </c>
      <c r="C378">
        <v>20</v>
      </c>
      <c r="D378" t="s">
        <v>37</v>
      </c>
      <c r="E378" t="s">
        <v>38</v>
      </c>
      <c r="F378" t="s">
        <v>49</v>
      </c>
      <c r="G378" t="s">
        <v>51</v>
      </c>
      <c r="H378">
        <v>4</v>
      </c>
      <c r="I378">
        <v>2</v>
      </c>
      <c r="J378" t="s">
        <v>23</v>
      </c>
      <c r="K378" t="s">
        <v>51</v>
      </c>
      <c r="L378">
        <v>3</v>
      </c>
      <c r="M378">
        <v>2</v>
      </c>
      <c r="N378" t="s">
        <v>44</v>
      </c>
      <c r="O378" t="s">
        <v>43</v>
      </c>
      <c r="P378" t="s">
        <v>43</v>
      </c>
      <c r="Q378" t="s">
        <v>44</v>
      </c>
      <c r="R378" t="s">
        <v>43</v>
      </c>
      <c r="S378" t="s">
        <v>43</v>
      </c>
      <c r="T378">
        <v>4</v>
      </c>
      <c r="U378">
        <v>3</v>
      </c>
      <c r="V378">
        <v>1</v>
      </c>
      <c r="W378">
        <v>1</v>
      </c>
      <c r="X378">
        <v>3</v>
      </c>
      <c r="Y378">
        <v>2</v>
      </c>
      <c r="Z378">
        <v>4</v>
      </c>
      <c r="AA378">
        <v>15</v>
      </c>
      <c r="AB378">
        <v>14</v>
      </c>
      <c r="AC378">
        <v>15</v>
      </c>
      <c r="AD378" t="s">
        <v>55</v>
      </c>
      <c r="AE378" t="s">
        <v>45</v>
      </c>
      <c r="AF378" t="s">
        <v>52</v>
      </c>
      <c r="AG378" t="s">
        <v>57</v>
      </c>
      <c r="AH378">
        <v>0</v>
      </c>
      <c r="AI378" t="s">
        <v>58</v>
      </c>
    </row>
    <row r="379" spans="1:35" x14ac:dyDescent="0.25">
      <c r="A379" t="s">
        <v>65</v>
      </c>
      <c r="B379" t="s">
        <v>36</v>
      </c>
      <c r="C379">
        <v>18</v>
      </c>
      <c r="D379" t="s">
        <v>63</v>
      </c>
      <c r="E379" t="s">
        <v>53</v>
      </c>
      <c r="F379" t="s">
        <v>49</v>
      </c>
      <c r="G379" t="s">
        <v>40</v>
      </c>
      <c r="H379">
        <v>4</v>
      </c>
      <c r="I379">
        <v>4</v>
      </c>
      <c r="J379" t="s">
        <v>42</v>
      </c>
      <c r="K379" t="s">
        <v>54</v>
      </c>
      <c r="L379">
        <v>2</v>
      </c>
      <c r="M379">
        <v>1</v>
      </c>
      <c r="N379" t="s">
        <v>44</v>
      </c>
      <c r="O379" t="s">
        <v>44</v>
      </c>
      <c r="P379" t="s">
        <v>43</v>
      </c>
      <c r="Q379" t="s">
        <v>43</v>
      </c>
      <c r="R379" t="s">
        <v>43</v>
      </c>
      <c r="S379" t="s">
        <v>44</v>
      </c>
      <c r="T379">
        <v>4</v>
      </c>
      <c r="U379">
        <v>3</v>
      </c>
      <c r="V379">
        <v>3</v>
      </c>
      <c r="W379">
        <v>4</v>
      </c>
      <c r="X379">
        <v>2</v>
      </c>
      <c r="Y379">
        <v>0</v>
      </c>
      <c r="Z379">
        <v>4</v>
      </c>
      <c r="AA379">
        <v>8</v>
      </c>
      <c r="AB379">
        <v>9</v>
      </c>
      <c r="AC379">
        <v>10</v>
      </c>
      <c r="AD379" t="s">
        <v>46</v>
      </c>
      <c r="AE379" t="s">
        <v>56</v>
      </c>
      <c r="AF379" t="s">
        <v>52</v>
      </c>
      <c r="AG379" t="s">
        <v>47</v>
      </c>
      <c r="AH379">
        <v>2</v>
      </c>
      <c r="AI379" t="s">
        <v>48</v>
      </c>
    </row>
    <row r="380" spans="1:35" x14ac:dyDescent="0.25">
      <c r="A380" t="s">
        <v>65</v>
      </c>
      <c r="B380" t="s">
        <v>36</v>
      </c>
      <c r="C380">
        <v>18</v>
      </c>
      <c r="D380" t="s">
        <v>37</v>
      </c>
      <c r="E380" t="s">
        <v>38</v>
      </c>
      <c r="F380" t="s">
        <v>49</v>
      </c>
      <c r="G380" t="s">
        <v>40</v>
      </c>
      <c r="H380">
        <v>3</v>
      </c>
      <c r="I380">
        <v>3</v>
      </c>
      <c r="J380" t="s">
        <v>51</v>
      </c>
      <c r="K380" t="s">
        <v>51</v>
      </c>
      <c r="L380">
        <v>2</v>
      </c>
      <c r="M380">
        <v>1</v>
      </c>
      <c r="N380" t="s">
        <v>44</v>
      </c>
      <c r="O380" t="s">
        <v>44</v>
      </c>
      <c r="P380" t="s">
        <v>43</v>
      </c>
      <c r="Q380" t="s">
        <v>44</v>
      </c>
      <c r="R380" t="s">
        <v>43</v>
      </c>
      <c r="S380" t="s">
        <v>43</v>
      </c>
      <c r="T380">
        <v>1</v>
      </c>
      <c r="U380">
        <v>3</v>
      </c>
      <c r="V380">
        <v>1</v>
      </c>
      <c r="W380">
        <v>2</v>
      </c>
      <c r="X380">
        <v>1</v>
      </c>
      <c r="Y380">
        <v>0</v>
      </c>
      <c r="Z380">
        <v>0</v>
      </c>
      <c r="AA380">
        <v>15</v>
      </c>
      <c r="AB380">
        <v>15</v>
      </c>
      <c r="AC380">
        <v>15</v>
      </c>
      <c r="AD380" t="s">
        <v>55</v>
      </c>
      <c r="AE380" t="s">
        <v>56</v>
      </c>
      <c r="AF380" t="s">
        <v>52</v>
      </c>
      <c r="AG380" t="s">
        <v>47</v>
      </c>
      <c r="AH380">
        <v>0</v>
      </c>
      <c r="AI380" t="s">
        <v>58</v>
      </c>
    </row>
    <row r="381" spans="1:35" x14ac:dyDescent="0.25">
      <c r="A381" t="s">
        <v>65</v>
      </c>
      <c r="B381" t="s">
        <v>36</v>
      </c>
      <c r="C381">
        <v>17</v>
      </c>
      <c r="D381" t="s">
        <v>63</v>
      </c>
      <c r="E381" t="s">
        <v>38</v>
      </c>
      <c r="F381" t="s">
        <v>49</v>
      </c>
      <c r="G381" t="s">
        <v>40</v>
      </c>
      <c r="H381">
        <v>3</v>
      </c>
      <c r="I381">
        <v>1</v>
      </c>
      <c r="J381" t="s">
        <v>41</v>
      </c>
      <c r="K381" t="s">
        <v>51</v>
      </c>
      <c r="L381">
        <v>2</v>
      </c>
      <c r="M381">
        <v>1</v>
      </c>
      <c r="N381" t="s">
        <v>44</v>
      </c>
      <c r="O381" t="s">
        <v>43</v>
      </c>
      <c r="P381" t="s">
        <v>43</v>
      </c>
      <c r="Q381" t="s">
        <v>43</v>
      </c>
      <c r="R381" t="s">
        <v>43</v>
      </c>
      <c r="S381" t="s">
        <v>44</v>
      </c>
      <c r="T381">
        <v>5</v>
      </c>
      <c r="U381">
        <v>4</v>
      </c>
      <c r="V381">
        <v>2</v>
      </c>
      <c r="W381">
        <v>3</v>
      </c>
      <c r="X381">
        <v>1</v>
      </c>
      <c r="Y381">
        <v>0</v>
      </c>
      <c r="Z381">
        <v>17</v>
      </c>
      <c r="AA381">
        <v>10</v>
      </c>
      <c r="AB381">
        <v>10</v>
      </c>
      <c r="AC381">
        <v>10</v>
      </c>
      <c r="AD381" t="s">
        <v>46</v>
      </c>
      <c r="AE381" t="s">
        <v>45</v>
      </c>
      <c r="AF381" t="s">
        <v>62</v>
      </c>
      <c r="AG381" t="s">
        <v>47</v>
      </c>
      <c r="AH381">
        <v>0</v>
      </c>
      <c r="AI381" t="s">
        <v>58</v>
      </c>
    </row>
    <row r="382" spans="1:35" x14ac:dyDescent="0.25">
      <c r="A382" t="s">
        <v>65</v>
      </c>
      <c r="B382" t="s">
        <v>59</v>
      </c>
      <c r="C382">
        <v>18</v>
      </c>
      <c r="D382" t="s">
        <v>37</v>
      </c>
      <c r="E382" t="s">
        <v>38</v>
      </c>
      <c r="F382" t="s">
        <v>49</v>
      </c>
      <c r="G382" t="s">
        <v>50</v>
      </c>
      <c r="H382">
        <v>4</v>
      </c>
      <c r="I382">
        <v>4</v>
      </c>
      <c r="J382" t="s">
        <v>42</v>
      </c>
      <c r="K382" t="s">
        <v>42</v>
      </c>
      <c r="L382">
        <v>2</v>
      </c>
      <c r="M382">
        <v>1</v>
      </c>
      <c r="N382" t="s">
        <v>44</v>
      </c>
      <c r="O382" t="s">
        <v>44</v>
      </c>
      <c r="P382" t="s">
        <v>43</v>
      </c>
      <c r="Q382" t="s">
        <v>43</v>
      </c>
      <c r="R382" t="s">
        <v>43</v>
      </c>
      <c r="S382" t="s">
        <v>44</v>
      </c>
      <c r="T382">
        <v>2</v>
      </c>
      <c r="U382">
        <v>4</v>
      </c>
      <c r="V382">
        <v>1</v>
      </c>
      <c r="W382">
        <v>4</v>
      </c>
      <c r="X382">
        <v>2</v>
      </c>
      <c r="Y382">
        <v>0</v>
      </c>
      <c r="Z382">
        <v>4</v>
      </c>
      <c r="AA382">
        <v>15</v>
      </c>
      <c r="AB382">
        <v>14</v>
      </c>
      <c r="AC382">
        <v>14</v>
      </c>
      <c r="AD382" t="s">
        <v>55</v>
      </c>
      <c r="AE382" t="s">
        <v>56</v>
      </c>
      <c r="AF382" t="s">
        <v>52</v>
      </c>
      <c r="AG382" t="s">
        <v>47</v>
      </c>
      <c r="AH382">
        <v>-1</v>
      </c>
      <c r="AI382" t="s">
        <v>60</v>
      </c>
    </row>
    <row r="383" spans="1:35" x14ac:dyDescent="0.25">
      <c r="A383" t="s">
        <v>65</v>
      </c>
      <c r="B383" t="s">
        <v>59</v>
      </c>
      <c r="C383">
        <v>18</v>
      </c>
      <c r="D383" t="s">
        <v>63</v>
      </c>
      <c r="E383" t="s">
        <v>38</v>
      </c>
      <c r="F383" t="s">
        <v>49</v>
      </c>
      <c r="G383" t="s">
        <v>40</v>
      </c>
      <c r="H383">
        <v>2</v>
      </c>
      <c r="I383">
        <v>1</v>
      </c>
      <c r="J383" t="s">
        <v>51</v>
      </c>
      <c r="K383" t="s">
        <v>51</v>
      </c>
      <c r="L383">
        <v>1</v>
      </c>
      <c r="M383">
        <v>2</v>
      </c>
      <c r="N383" t="s">
        <v>44</v>
      </c>
      <c r="O383" t="s">
        <v>44</v>
      </c>
      <c r="P383" t="s">
        <v>44</v>
      </c>
      <c r="Q383" t="s">
        <v>43</v>
      </c>
      <c r="R383" t="s">
        <v>43</v>
      </c>
      <c r="S383" t="s">
        <v>43</v>
      </c>
      <c r="T383">
        <v>4</v>
      </c>
      <c r="U383">
        <v>3</v>
      </c>
      <c r="V383">
        <v>1</v>
      </c>
      <c r="W383">
        <v>3</v>
      </c>
      <c r="X383">
        <v>5</v>
      </c>
      <c r="Y383">
        <v>0</v>
      </c>
      <c r="Z383">
        <v>5</v>
      </c>
      <c r="AA383">
        <v>7</v>
      </c>
      <c r="AB383">
        <v>6</v>
      </c>
      <c r="AC383">
        <v>7</v>
      </c>
      <c r="AD383" t="s">
        <v>45</v>
      </c>
      <c r="AE383" t="s">
        <v>45</v>
      </c>
      <c r="AF383" t="s">
        <v>52</v>
      </c>
      <c r="AG383" t="s">
        <v>61</v>
      </c>
      <c r="AH383">
        <v>0</v>
      </c>
      <c r="AI383" t="s">
        <v>58</v>
      </c>
    </row>
    <row r="384" spans="1:35" x14ac:dyDescent="0.25">
      <c r="A384" t="s">
        <v>65</v>
      </c>
      <c r="B384" t="s">
        <v>59</v>
      </c>
      <c r="C384">
        <v>17</v>
      </c>
      <c r="D384" t="s">
        <v>37</v>
      </c>
      <c r="E384" t="s">
        <v>38</v>
      </c>
      <c r="F384" t="s">
        <v>49</v>
      </c>
      <c r="G384" t="s">
        <v>50</v>
      </c>
      <c r="H384">
        <v>2</v>
      </c>
      <c r="I384">
        <v>3</v>
      </c>
      <c r="J384" t="s">
        <v>51</v>
      </c>
      <c r="K384" t="s">
        <v>54</v>
      </c>
      <c r="L384">
        <v>2</v>
      </c>
      <c r="M384">
        <v>2</v>
      </c>
      <c r="N384" t="s">
        <v>44</v>
      </c>
      <c r="O384" t="s">
        <v>44</v>
      </c>
      <c r="P384" t="s">
        <v>44</v>
      </c>
      <c r="Q384" t="s">
        <v>43</v>
      </c>
      <c r="R384" t="s">
        <v>43</v>
      </c>
      <c r="S384" t="s">
        <v>44</v>
      </c>
      <c r="T384">
        <v>4</v>
      </c>
      <c r="U384">
        <v>3</v>
      </c>
      <c r="V384">
        <v>1</v>
      </c>
      <c r="W384">
        <v>1</v>
      </c>
      <c r="X384">
        <v>3</v>
      </c>
      <c r="Y384">
        <v>0</v>
      </c>
      <c r="Z384">
        <v>2</v>
      </c>
      <c r="AA384">
        <v>11</v>
      </c>
      <c r="AB384">
        <v>11</v>
      </c>
      <c r="AC384">
        <v>10</v>
      </c>
      <c r="AD384" t="s">
        <v>46</v>
      </c>
      <c r="AE384" t="s">
        <v>56</v>
      </c>
      <c r="AF384" t="s">
        <v>52</v>
      </c>
      <c r="AG384" t="s">
        <v>47</v>
      </c>
      <c r="AH384">
        <v>-1</v>
      </c>
      <c r="AI384" t="s">
        <v>60</v>
      </c>
    </row>
    <row r="385" spans="1:35" x14ac:dyDescent="0.25">
      <c r="A385" t="s">
        <v>65</v>
      </c>
      <c r="B385" t="s">
        <v>59</v>
      </c>
      <c r="C385">
        <v>19</v>
      </c>
      <c r="D385" t="s">
        <v>63</v>
      </c>
      <c r="E385" t="s">
        <v>38</v>
      </c>
      <c r="F385" t="s">
        <v>49</v>
      </c>
      <c r="G385" t="s">
        <v>40</v>
      </c>
      <c r="H385">
        <v>1</v>
      </c>
      <c r="I385">
        <v>1</v>
      </c>
      <c r="J385" t="s">
        <v>51</v>
      </c>
      <c r="K385" t="s">
        <v>54</v>
      </c>
      <c r="L385">
        <v>1</v>
      </c>
      <c r="M385">
        <v>2</v>
      </c>
      <c r="N385" t="s">
        <v>44</v>
      </c>
      <c r="O385" t="s">
        <v>44</v>
      </c>
      <c r="P385" t="s">
        <v>44</v>
      </c>
      <c r="Q385" t="s">
        <v>44</v>
      </c>
      <c r="R385" t="s">
        <v>44</v>
      </c>
      <c r="S385" t="s">
        <v>44</v>
      </c>
      <c r="T385">
        <v>3</v>
      </c>
      <c r="U385">
        <v>2</v>
      </c>
      <c r="V385">
        <v>1</v>
      </c>
      <c r="W385">
        <v>3</v>
      </c>
      <c r="X385">
        <v>5</v>
      </c>
      <c r="Y385">
        <v>1</v>
      </c>
      <c r="Z385">
        <v>0</v>
      </c>
      <c r="AA385">
        <v>6</v>
      </c>
      <c r="AB385">
        <v>5</v>
      </c>
      <c r="AC385">
        <v>0</v>
      </c>
      <c r="AD385" t="s">
        <v>45</v>
      </c>
      <c r="AE385" t="s">
        <v>45</v>
      </c>
      <c r="AF385" t="s">
        <v>52</v>
      </c>
      <c r="AG385" t="s">
        <v>61</v>
      </c>
      <c r="AH385">
        <v>-6</v>
      </c>
      <c r="AI385" t="s">
        <v>60</v>
      </c>
    </row>
    <row r="386" spans="1:35" x14ac:dyDescent="0.25">
      <c r="A386" t="s">
        <v>65</v>
      </c>
      <c r="B386" t="s">
        <v>59</v>
      </c>
      <c r="C386">
        <v>18</v>
      </c>
      <c r="D386" t="s">
        <v>63</v>
      </c>
      <c r="E386" t="s">
        <v>38</v>
      </c>
      <c r="F386" t="s">
        <v>49</v>
      </c>
      <c r="G386" t="s">
        <v>50</v>
      </c>
      <c r="H386">
        <v>4</v>
      </c>
      <c r="I386">
        <v>2</v>
      </c>
      <c r="J386" t="s">
        <v>51</v>
      </c>
      <c r="K386" t="s">
        <v>51</v>
      </c>
      <c r="L386">
        <v>1</v>
      </c>
      <c r="M386">
        <v>2</v>
      </c>
      <c r="N386" t="s">
        <v>44</v>
      </c>
      <c r="O386" t="s">
        <v>44</v>
      </c>
      <c r="P386" t="s">
        <v>43</v>
      </c>
      <c r="Q386" t="s">
        <v>44</v>
      </c>
      <c r="R386" t="s">
        <v>44</v>
      </c>
      <c r="S386" t="s">
        <v>44</v>
      </c>
      <c r="T386">
        <v>4</v>
      </c>
      <c r="U386">
        <v>3</v>
      </c>
      <c r="V386">
        <v>4</v>
      </c>
      <c r="W386">
        <v>3</v>
      </c>
      <c r="X386">
        <v>3</v>
      </c>
      <c r="Y386">
        <v>1</v>
      </c>
      <c r="Z386">
        <v>14</v>
      </c>
      <c r="AA386">
        <v>6</v>
      </c>
      <c r="AB386">
        <v>5</v>
      </c>
      <c r="AC386">
        <v>5</v>
      </c>
      <c r="AD386" t="s">
        <v>45</v>
      </c>
      <c r="AE386" t="s">
        <v>45</v>
      </c>
      <c r="AF386" t="s">
        <v>46</v>
      </c>
      <c r="AG386" t="s">
        <v>61</v>
      </c>
      <c r="AH386">
        <v>-1</v>
      </c>
      <c r="AI386" t="s">
        <v>60</v>
      </c>
    </row>
    <row r="387" spans="1:35" x14ac:dyDescent="0.25">
      <c r="A387" t="s">
        <v>65</v>
      </c>
      <c r="B387" t="s">
        <v>36</v>
      </c>
      <c r="C387">
        <v>18</v>
      </c>
      <c r="D387" t="s">
        <v>63</v>
      </c>
      <c r="E387" t="s">
        <v>38</v>
      </c>
      <c r="F387" t="s">
        <v>49</v>
      </c>
      <c r="G387" t="s">
        <v>40</v>
      </c>
      <c r="H387">
        <v>2</v>
      </c>
      <c r="I387">
        <v>2</v>
      </c>
      <c r="J387" t="s">
        <v>41</v>
      </c>
      <c r="K387" t="s">
        <v>51</v>
      </c>
      <c r="L387">
        <v>3</v>
      </c>
      <c r="M387">
        <v>2</v>
      </c>
      <c r="N387" t="s">
        <v>44</v>
      </c>
      <c r="O387" t="s">
        <v>44</v>
      </c>
      <c r="P387" t="s">
        <v>43</v>
      </c>
      <c r="Q387" t="s">
        <v>44</v>
      </c>
      <c r="R387" t="s">
        <v>44</v>
      </c>
      <c r="S387" t="s">
        <v>44</v>
      </c>
      <c r="T387">
        <v>3</v>
      </c>
      <c r="U387">
        <v>3</v>
      </c>
      <c r="V387">
        <v>1</v>
      </c>
      <c r="W387">
        <v>3</v>
      </c>
      <c r="X387">
        <v>4</v>
      </c>
      <c r="Y387">
        <v>0</v>
      </c>
      <c r="Z387">
        <v>2</v>
      </c>
      <c r="AA387">
        <v>10</v>
      </c>
      <c r="AB387">
        <v>9</v>
      </c>
      <c r="AC387">
        <v>10</v>
      </c>
      <c r="AD387" t="s">
        <v>46</v>
      </c>
      <c r="AE387" t="s">
        <v>56</v>
      </c>
      <c r="AF387" t="s">
        <v>52</v>
      </c>
      <c r="AG387" t="s">
        <v>57</v>
      </c>
      <c r="AH387">
        <v>0</v>
      </c>
      <c r="AI387" t="s">
        <v>58</v>
      </c>
    </row>
    <row r="388" spans="1:35" x14ac:dyDescent="0.25">
      <c r="A388" t="s">
        <v>65</v>
      </c>
      <c r="B388" t="s">
        <v>36</v>
      </c>
      <c r="C388">
        <v>18</v>
      </c>
      <c r="D388" t="s">
        <v>63</v>
      </c>
      <c r="E388" t="s">
        <v>38</v>
      </c>
      <c r="F388" t="s">
        <v>49</v>
      </c>
      <c r="G388" t="s">
        <v>40</v>
      </c>
      <c r="H388">
        <v>4</v>
      </c>
      <c r="I388">
        <v>4</v>
      </c>
      <c r="J388" t="s">
        <v>42</v>
      </c>
      <c r="K388" t="s">
        <v>41</v>
      </c>
      <c r="L388">
        <v>1</v>
      </c>
      <c r="M388">
        <v>3</v>
      </c>
      <c r="N388" t="s">
        <v>44</v>
      </c>
      <c r="O388" t="s">
        <v>43</v>
      </c>
      <c r="P388" t="s">
        <v>43</v>
      </c>
      <c r="Q388" t="s">
        <v>43</v>
      </c>
      <c r="R388" t="s">
        <v>43</v>
      </c>
      <c r="S388" t="s">
        <v>43</v>
      </c>
      <c r="T388">
        <v>4</v>
      </c>
      <c r="U388">
        <v>3</v>
      </c>
      <c r="V388">
        <v>2</v>
      </c>
      <c r="W388">
        <v>2</v>
      </c>
      <c r="X388">
        <v>5</v>
      </c>
      <c r="Y388">
        <v>0</v>
      </c>
      <c r="Z388">
        <v>7</v>
      </c>
      <c r="AA388">
        <v>6</v>
      </c>
      <c r="AB388">
        <v>5</v>
      </c>
      <c r="AC388">
        <v>6</v>
      </c>
      <c r="AD388" t="s">
        <v>45</v>
      </c>
      <c r="AE388" t="s">
        <v>45</v>
      </c>
      <c r="AF388" t="s">
        <v>46</v>
      </c>
      <c r="AG388" t="s">
        <v>61</v>
      </c>
      <c r="AH388">
        <v>0</v>
      </c>
      <c r="AI388" t="s">
        <v>58</v>
      </c>
    </row>
    <row r="389" spans="1:35" x14ac:dyDescent="0.25">
      <c r="A389" t="s">
        <v>65</v>
      </c>
      <c r="B389" t="s">
        <v>36</v>
      </c>
      <c r="C389">
        <v>19</v>
      </c>
      <c r="D389" t="s">
        <v>63</v>
      </c>
      <c r="E389" t="s">
        <v>38</v>
      </c>
      <c r="F389" t="s">
        <v>49</v>
      </c>
      <c r="G389" t="s">
        <v>40</v>
      </c>
      <c r="H389">
        <v>2</v>
      </c>
      <c r="I389">
        <v>3</v>
      </c>
      <c r="J389" t="s">
        <v>54</v>
      </c>
      <c r="K389" t="s">
        <v>51</v>
      </c>
      <c r="L389">
        <v>3</v>
      </c>
      <c r="M389">
        <v>1</v>
      </c>
      <c r="N389" t="s">
        <v>44</v>
      </c>
      <c r="O389" t="s">
        <v>44</v>
      </c>
      <c r="P389" t="s">
        <v>44</v>
      </c>
      <c r="Q389" t="s">
        <v>43</v>
      </c>
      <c r="R389" t="s">
        <v>43</v>
      </c>
      <c r="S389" t="s">
        <v>44</v>
      </c>
      <c r="T389">
        <v>4</v>
      </c>
      <c r="U389">
        <v>2</v>
      </c>
      <c r="V389">
        <v>1</v>
      </c>
      <c r="W389">
        <v>2</v>
      </c>
      <c r="X389">
        <v>5</v>
      </c>
      <c r="Y389">
        <v>1</v>
      </c>
      <c r="Z389">
        <v>0</v>
      </c>
      <c r="AA389">
        <v>7</v>
      </c>
      <c r="AB389">
        <v>5</v>
      </c>
      <c r="AC389">
        <v>0</v>
      </c>
      <c r="AD389" t="s">
        <v>45</v>
      </c>
      <c r="AE389" t="s">
        <v>45</v>
      </c>
      <c r="AF389" t="s">
        <v>52</v>
      </c>
      <c r="AG389" t="s">
        <v>57</v>
      </c>
      <c r="AH389">
        <v>-7</v>
      </c>
      <c r="AI389" t="s">
        <v>60</v>
      </c>
    </row>
    <row r="390" spans="1:35" x14ac:dyDescent="0.25">
      <c r="A390" t="s">
        <v>65</v>
      </c>
      <c r="B390" t="s">
        <v>36</v>
      </c>
      <c r="C390">
        <v>18</v>
      </c>
      <c r="D390" t="s">
        <v>37</v>
      </c>
      <c r="E390" t="s">
        <v>53</v>
      </c>
      <c r="F390" t="s">
        <v>49</v>
      </c>
      <c r="G390" t="s">
        <v>40</v>
      </c>
      <c r="H390">
        <v>3</v>
      </c>
      <c r="I390">
        <v>1</v>
      </c>
      <c r="J390" t="s">
        <v>42</v>
      </c>
      <c r="K390" t="s">
        <v>54</v>
      </c>
      <c r="L390">
        <v>2</v>
      </c>
      <c r="M390">
        <v>1</v>
      </c>
      <c r="N390" t="s">
        <v>44</v>
      </c>
      <c r="O390" t="s">
        <v>43</v>
      </c>
      <c r="P390" t="s">
        <v>43</v>
      </c>
      <c r="Q390" t="s">
        <v>44</v>
      </c>
      <c r="R390" t="s">
        <v>43</v>
      </c>
      <c r="S390" t="s">
        <v>44</v>
      </c>
      <c r="T390">
        <v>3</v>
      </c>
      <c r="U390">
        <v>4</v>
      </c>
      <c r="V390">
        <v>1</v>
      </c>
      <c r="W390">
        <v>1</v>
      </c>
      <c r="X390">
        <v>1</v>
      </c>
      <c r="Y390">
        <v>0</v>
      </c>
      <c r="Z390">
        <v>0</v>
      </c>
      <c r="AA390">
        <v>7</v>
      </c>
      <c r="AB390">
        <v>9</v>
      </c>
      <c r="AC390">
        <v>8</v>
      </c>
      <c r="AD390" t="s">
        <v>45</v>
      </c>
      <c r="AE390" t="s">
        <v>45</v>
      </c>
      <c r="AF390" t="s">
        <v>52</v>
      </c>
      <c r="AG390" t="s">
        <v>47</v>
      </c>
      <c r="AH390">
        <v>1</v>
      </c>
      <c r="AI390" t="s">
        <v>48</v>
      </c>
    </row>
    <row r="391" spans="1:35" x14ac:dyDescent="0.25">
      <c r="A391" t="s">
        <v>65</v>
      </c>
      <c r="B391" t="s">
        <v>36</v>
      </c>
      <c r="C391">
        <v>18</v>
      </c>
      <c r="D391" t="s">
        <v>37</v>
      </c>
      <c r="E391" t="s">
        <v>38</v>
      </c>
      <c r="F391" t="s">
        <v>49</v>
      </c>
      <c r="G391" t="s">
        <v>40</v>
      </c>
      <c r="H391">
        <v>1</v>
      </c>
      <c r="I391">
        <v>1</v>
      </c>
      <c r="J391" t="s">
        <v>51</v>
      </c>
      <c r="K391" t="s">
        <v>51</v>
      </c>
      <c r="L391">
        <v>2</v>
      </c>
      <c r="M391">
        <v>2</v>
      </c>
      <c r="N391" t="s">
        <v>44</v>
      </c>
      <c r="O391" t="s">
        <v>44</v>
      </c>
      <c r="P391" t="s">
        <v>44</v>
      </c>
      <c r="Q391" t="s">
        <v>43</v>
      </c>
      <c r="R391" t="s">
        <v>44</v>
      </c>
      <c r="S391" t="s">
        <v>44</v>
      </c>
      <c r="T391">
        <v>1</v>
      </c>
      <c r="U391">
        <v>1</v>
      </c>
      <c r="V391">
        <v>1</v>
      </c>
      <c r="W391">
        <v>1</v>
      </c>
      <c r="X391">
        <v>5</v>
      </c>
      <c r="Y391">
        <v>1</v>
      </c>
      <c r="Z391">
        <v>0</v>
      </c>
      <c r="AA391">
        <v>6</v>
      </c>
      <c r="AB391">
        <v>5</v>
      </c>
      <c r="AC391">
        <v>0</v>
      </c>
      <c r="AD391" t="s">
        <v>45</v>
      </c>
      <c r="AE391" t="s">
        <v>45</v>
      </c>
      <c r="AF391" t="s">
        <v>52</v>
      </c>
      <c r="AG391" t="s">
        <v>47</v>
      </c>
      <c r="AH391">
        <v>-6</v>
      </c>
      <c r="AI391" t="s">
        <v>60</v>
      </c>
    </row>
    <row r="392" spans="1:35" x14ac:dyDescent="0.25">
      <c r="A392" t="s">
        <v>65</v>
      </c>
      <c r="B392" t="s">
        <v>59</v>
      </c>
      <c r="C392">
        <v>20</v>
      </c>
      <c r="D392" t="s">
        <v>37</v>
      </c>
      <c r="E392" t="s">
        <v>53</v>
      </c>
      <c r="F392" t="s">
        <v>39</v>
      </c>
      <c r="G392" t="s">
        <v>51</v>
      </c>
      <c r="H392">
        <v>2</v>
      </c>
      <c r="I392">
        <v>2</v>
      </c>
      <c r="J392" t="s">
        <v>54</v>
      </c>
      <c r="K392" t="s">
        <v>54</v>
      </c>
      <c r="L392">
        <v>2</v>
      </c>
      <c r="M392">
        <v>1</v>
      </c>
      <c r="N392" t="s">
        <v>44</v>
      </c>
      <c r="O392" t="s">
        <v>43</v>
      </c>
      <c r="P392" t="s">
        <v>43</v>
      </c>
      <c r="Q392" t="s">
        <v>44</v>
      </c>
      <c r="R392" t="s">
        <v>44</v>
      </c>
      <c r="S392" t="s">
        <v>44</v>
      </c>
      <c r="T392">
        <v>5</v>
      </c>
      <c r="U392">
        <v>4</v>
      </c>
      <c r="V392">
        <v>4</v>
      </c>
      <c r="W392">
        <v>5</v>
      </c>
      <c r="X392">
        <v>4</v>
      </c>
      <c r="Y392">
        <v>2</v>
      </c>
      <c r="Z392">
        <v>11</v>
      </c>
      <c r="AA392">
        <v>9</v>
      </c>
      <c r="AB392">
        <v>9</v>
      </c>
      <c r="AC392">
        <v>9</v>
      </c>
      <c r="AD392" t="s">
        <v>45</v>
      </c>
      <c r="AE392" t="s">
        <v>45</v>
      </c>
      <c r="AF392" t="s">
        <v>46</v>
      </c>
      <c r="AG392" t="s">
        <v>47</v>
      </c>
      <c r="AH392">
        <v>0</v>
      </c>
      <c r="AI392" t="s">
        <v>58</v>
      </c>
    </row>
    <row r="393" spans="1:35" x14ac:dyDescent="0.25">
      <c r="A393" t="s">
        <v>65</v>
      </c>
      <c r="B393" t="s">
        <v>59</v>
      </c>
      <c r="C393">
        <v>17</v>
      </c>
      <c r="D393" t="s">
        <v>37</v>
      </c>
      <c r="E393" t="s">
        <v>53</v>
      </c>
      <c r="F393" t="s">
        <v>49</v>
      </c>
      <c r="G393" t="s">
        <v>40</v>
      </c>
      <c r="H393">
        <v>3</v>
      </c>
      <c r="I393">
        <v>1</v>
      </c>
      <c r="J393" t="s">
        <v>54</v>
      </c>
      <c r="K393" t="s">
        <v>54</v>
      </c>
      <c r="L393">
        <v>1</v>
      </c>
      <c r="M393">
        <v>2</v>
      </c>
      <c r="N393" t="s">
        <v>44</v>
      </c>
      <c r="O393" t="s">
        <v>44</v>
      </c>
      <c r="P393" t="s">
        <v>44</v>
      </c>
      <c r="Q393" t="s">
        <v>44</v>
      </c>
      <c r="R393" t="s">
        <v>43</v>
      </c>
      <c r="S393" t="s">
        <v>44</v>
      </c>
      <c r="T393">
        <v>4</v>
      </c>
      <c r="U393">
        <v>5</v>
      </c>
      <c r="V393">
        <v>3</v>
      </c>
      <c r="W393">
        <v>4</v>
      </c>
      <c r="X393">
        <v>2</v>
      </c>
      <c r="Y393">
        <v>0</v>
      </c>
      <c r="Z393">
        <v>3</v>
      </c>
      <c r="AA393">
        <v>14</v>
      </c>
      <c r="AB393">
        <v>16</v>
      </c>
      <c r="AC393">
        <v>16</v>
      </c>
      <c r="AD393" t="s">
        <v>55</v>
      </c>
      <c r="AE393" t="s">
        <v>56</v>
      </c>
      <c r="AF393" t="s">
        <v>52</v>
      </c>
      <c r="AG393" t="s">
        <v>61</v>
      </c>
      <c r="AH393">
        <v>2</v>
      </c>
      <c r="AI393" t="s">
        <v>48</v>
      </c>
    </row>
    <row r="394" spans="1:35" x14ac:dyDescent="0.25">
      <c r="A394" t="s">
        <v>65</v>
      </c>
      <c r="B394" t="s">
        <v>59</v>
      </c>
      <c r="C394">
        <v>21</v>
      </c>
      <c r="D394" t="s">
        <v>63</v>
      </c>
      <c r="E394" t="s">
        <v>38</v>
      </c>
      <c r="F394" t="s">
        <v>49</v>
      </c>
      <c r="G394" t="s">
        <v>51</v>
      </c>
      <c r="H394">
        <v>1</v>
      </c>
      <c r="I394">
        <v>1</v>
      </c>
      <c r="J394" t="s">
        <v>51</v>
      </c>
      <c r="K394" t="s">
        <v>51</v>
      </c>
      <c r="L394">
        <v>1</v>
      </c>
      <c r="M394">
        <v>1</v>
      </c>
      <c r="N394" t="s">
        <v>44</v>
      </c>
      <c r="O394" t="s">
        <v>44</v>
      </c>
      <c r="P394" t="s">
        <v>44</v>
      </c>
      <c r="Q394" t="s">
        <v>44</v>
      </c>
      <c r="R394" t="s">
        <v>44</v>
      </c>
      <c r="S394" t="s">
        <v>44</v>
      </c>
      <c r="T394">
        <v>5</v>
      </c>
      <c r="U394">
        <v>3</v>
      </c>
      <c r="V394">
        <v>3</v>
      </c>
      <c r="W394">
        <v>3</v>
      </c>
      <c r="X394">
        <v>3</v>
      </c>
      <c r="Y394">
        <v>3</v>
      </c>
      <c r="Z394">
        <v>3</v>
      </c>
      <c r="AA394">
        <v>10</v>
      </c>
      <c r="AB394">
        <v>8</v>
      </c>
      <c r="AC394">
        <v>7</v>
      </c>
      <c r="AD394" t="s">
        <v>45</v>
      </c>
      <c r="AE394" t="s">
        <v>45</v>
      </c>
      <c r="AF394" t="s">
        <v>52</v>
      </c>
      <c r="AG394" t="s">
        <v>61</v>
      </c>
      <c r="AH394">
        <v>-3</v>
      </c>
      <c r="AI394" t="s">
        <v>60</v>
      </c>
    </row>
    <row r="395" spans="1:35" x14ac:dyDescent="0.25">
      <c r="A395" t="s">
        <v>65</v>
      </c>
      <c r="B395" t="s">
        <v>59</v>
      </c>
      <c r="C395">
        <v>18</v>
      </c>
      <c r="D395" t="s">
        <v>63</v>
      </c>
      <c r="E395" t="s">
        <v>53</v>
      </c>
      <c r="F395" t="s">
        <v>49</v>
      </c>
      <c r="G395" t="s">
        <v>40</v>
      </c>
      <c r="H395">
        <v>3</v>
      </c>
      <c r="I395">
        <v>2</v>
      </c>
      <c r="J395" t="s">
        <v>54</v>
      </c>
      <c r="K395" t="s">
        <v>51</v>
      </c>
      <c r="L395">
        <v>1</v>
      </c>
      <c r="M395">
        <v>3</v>
      </c>
      <c r="N395" t="s">
        <v>44</v>
      </c>
      <c r="O395" t="s">
        <v>44</v>
      </c>
      <c r="P395" t="s">
        <v>44</v>
      </c>
      <c r="Q395" t="s">
        <v>44</v>
      </c>
      <c r="R395" t="s">
        <v>43</v>
      </c>
      <c r="S395" t="s">
        <v>44</v>
      </c>
      <c r="T395">
        <v>4</v>
      </c>
      <c r="U395">
        <v>1</v>
      </c>
      <c r="V395">
        <v>3</v>
      </c>
      <c r="W395">
        <v>4</v>
      </c>
      <c r="X395">
        <v>5</v>
      </c>
      <c r="Y395">
        <v>0</v>
      </c>
      <c r="Z395">
        <v>0</v>
      </c>
      <c r="AA395">
        <v>11</v>
      </c>
      <c r="AB395">
        <v>12</v>
      </c>
      <c r="AC395">
        <v>10</v>
      </c>
      <c r="AD395" t="s">
        <v>46</v>
      </c>
      <c r="AE395" t="s">
        <v>56</v>
      </c>
      <c r="AF395" t="s">
        <v>52</v>
      </c>
      <c r="AG395" t="s">
        <v>61</v>
      </c>
      <c r="AH395">
        <v>-1</v>
      </c>
      <c r="AI395" t="s">
        <v>60</v>
      </c>
    </row>
    <row r="396" spans="1:35" x14ac:dyDescent="0.25">
      <c r="A396" t="s">
        <v>65</v>
      </c>
      <c r="B396" t="s">
        <v>59</v>
      </c>
      <c r="C396">
        <v>19</v>
      </c>
      <c r="D396" t="s">
        <v>37</v>
      </c>
      <c r="E396" t="s">
        <v>53</v>
      </c>
      <c r="F396" t="s">
        <v>49</v>
      </c>
      <c r="G396" t="s">
        <v>50</v>
      </c>
      <c r="H396">
        <v>1</v>
      </c>
      <c r="I396">
        <v>1</v>
      </c>
      <c r="J396" t="s">
        <v>51</v>
      </c>
      <c r="K396" t="s">
        <v>41</v>
      </c>
      <c r="L396">
        <v>1</v>
      </c>
      <c r="M396">
        <v>1</v>
      </c>
      <c r="N396" t="s">
        <v>44</v>
      </c>
      <c r="O396" t="s">
        <v>44</v>
      </c>
      <c r="P396" t="s">
        <v>44</v>
      </c>
      <c r="Q396" t="s">
        <v>44</v>
      </c>
      <c r="R396" t="s">
        <v>43</v>
      </c>
      <c r="S396" t="s">
        <v>44</v>
      </c>
      <c r="T396">
        <v>2</v>
      </c>
      <c r="U396">
        <v>3</v>
      </c>
      <c r="V396">
        <v>3</v>
      </c>
      <c r="W396">
        <v>3</v>
      </c>
      <c r="X396">
        <v>5</v>
      </c>
      <c r="Y396">
        <v>0</v>
      </c>
      <c r="Z396">
        <v>5</v>
      </c>
      <c r="AA396">
        <v>8</v>
      </c>
      <c r="AB396">
        <v>9</v>
      </c>
      <c r="AC396">
        <v>9</v>
      </c>
      <c r="AD396" t="s">
        <v>45</v>
      </c>
      <c r="AE396" t="s">
        <v>45</v>
      </c>
      <c r="AF396" t="s">
        <v>52</v>
      </c>
      <c r="AG396" t="s">
        <v>61</v>
      </c>
      <c r="AH396">
        <v>1</v>
      </c>
      <c r="AI396" t="s">
        <v>48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AEC31-DC40-4469-9192-8B084BC944AB}">
  <dimension ref="A2:B34"/>
  <sheetViews>
    <sheetView workbookViewId="0">
      <selection activeCell="M30" sqref="M30"/>
    </sheetView>
  </sheetViews>
  <sheetFormatPr defaultRowHeight="15" x14ac:dyDescent="0.25"/>
  <cols>
    <col min="1" max="1" width="13.140625" bestFit="1" customWidth="1"/>
    <col min="2" max="2" width="14.28515625" bestFit="1" customWidth="1"/>
  </cols>
  <sheetData>
    <row r="2" spans="1:2" x14ac:dyDescent="0.25">
      <c r="A2" s="2" t="s">
        <v>69</v>
      </c>
      <c r="B2" t="s">
        <v>73</v>
      </c>
    </row>
    <row r="3" spans="1:2" x14ac:dyDescent="0.25">
      <c r="A3" s="3" t="s">
        <v>55</v>
      </c>
      <c r="B3" s="4">
        <v>100</v>
      </c>
    </row>
    <row r="4" spans="1:2" x14ac:dyDescent="0.25">
      <c r="A4" s="3" t="s">
        <v>46</v>
      </c>
      <c r="B4" s="4">
        <v>165</v>
      </c>
    </row>
    <row r="5" spans="1:2" x14ac:dyDescent="0.25">
      <c r="A5" s="3" t="s">
        <v>45</v>
      </c>
      <c r="B5" s="4">
        <v>130</v>
      </c>
    </row>
    <row r="6" spans="1:2" x14ac:dyDescent="0.25">
      <c r="A6" s="3" t="s">
        <v>70</v>
      </c>
      <c r="B6" s="4">
        <v>395</v>
      </c>
    </row>
    <row r="9" spans="1:2" x14ac:dyDescent="0.25">
      <c r="A9" s="2" t="s">
        <v>69</v>
      </c>
      <c r="B9" t="s">
        <v>74</v>
      </c>
    </row>
    <row r="10" spans="1:2" x14ac:dyDescent="0.25">
      <c r="A10" s="3" t="s">
        <v>45</v>
      </c>
      <c r="B10" s="4">
        <v>185</v>
      </c>
    </row>
    <row r="11" spans="1:2" x14ac:dyDescent="0.25">
      <c r="A11" s="3" t="s">
        <v>56</v>
      </c>
      <c r="B11" s="4">
        <v>210</v>
      </c>
    </row>
    <row r="12" spans="1:2" x14ac:dyDescent="0.25">
      <c r="A12" s="3" t="s">
        <v>70</v>
      </c>
      <c r="B12" s="4">
        <v>395</v>
      </c>
    </row>
    <row r="15" spans="1:2" x14ac:dyDescent="0.25">
      <c r="A15" s="2" t="s">
        <v>69</v>
      </c>
      <c r="B15" t="s">
        <v>75</v>
      </c>
    </row>
    <row r="16" spans="1:2" x14ac:dyDescent="0.25">
      <c r="A16" s="3" t="s">
        <v>62</v>
      </c>
      <c r="B16" s="4">
        <v>33</v>
      </c>
    </row>
    <row r="17" spans="1:2" x14ac:dyDescent="0.25">
      <c r="A17" s="3" t="s">
        <v>52</v>
      </c>
      <c r="B17" s="4">
        <v>249</v>
      </c>
    </row>
    <row r="18" spans="1:2" x14ac:dyDescent="0.25">
      <c r="A18" s="3" t="s">
        <v>46</v>
      </c>
      <c r="B18" s="4">
        <v>113</v>
      </c>
    </row>
    <row r="19" spans="1:2" x14ac:dyDescent="0.25">
      <c r="A19" s="3" t="s">
        <v>70</v>
      </c>
      <c r="B19" s="4">
        <v>395</v>
      </c>
    </row>
    <row r="22" spans="1:2" x14ac:dyDescent="0.25">
      <c r="A22" s="2" t="s">
        <v>69</v>
      </c>
      <c r="B22" t="s">
        <v>76</v>
      </c>
    </row>
    <row r="23" spans="1:2" x14ac:dyDescent="0.25">
      <c r="A23" s="3" t="s">
        <v>61</v>
      </c>
      <c r="B23" s="4">
        <v>105</v>
      </c>
    </row>
    <row r="24" spans="1:2" x14ac:dyDescent="0.25">
      <c r="A24" s="3" t="s">
        <v>64</v>
      </c>
      <c r="B24" s="4">
        <v>27</v>
      </c>
    </row>
    <row r="25" spans="1:2" x14ac:dyDescent="0.25">
      <c r="A25" s="3" t="s">
        <v>47</v>
      </c>
      <c r="B25" s="4">
        <v>198</v>
      </c>
    </row>
    <row r="26" spans="1:2" x14ac:dyDescent="0.25">
      <c r="A26" s="3" t="s">
        <v>57</v>
      </c>
      <c r="B26" s="4">
        <v>65</v>
      </c>
    </row>
    <row r="27" spans="1:2" x14ac:dyDescent="0.25">
      <c r="A27" s="3" t="s">
        <v>70</v>
      </c>
      <c r="B27" s="4">
        <v>395</v>
      </c>
    </row>
    <row r="30" spans="1:2" x14ac:dyDescent="0.25">
      <c r="A30" s="2" t="s">
        <v>69</v>
      </c>
      <c r="B30" t="s">
        <v>77</v>
      </c>
    </row>
    <row r="31" spans="1:2" x14ac:dyDescent="0.25">
      <c r="A31" s="3" t="s">
        <v>60</v>
      </c>
      <c r="B31" s="4">
        <v>159</v>
      </c>
    </row>
    <row r="32" spans="1:2" x14ac:dyDescent="0.25">
      <c r="A32" s="3" t="s">
        <v>48</v>
      </c>
      <c r="B32" s="4">
        <v>143</v>
      </c>
    </row>
    <row r="33" spans="1:2" x14ac:dyDescent="0.25">
      <c r="A33" s="3" t="s">
        <v>58</v>
      </c>
      <c r="B33" s="4">
        <v>93</v>
      </c>
    </row>
    <row r="34" spans="1:2" x14ac:dyDescent="0.25">
      <c r="A34" s="3" t="s">
        <v>70</v>
      </c>
      <c r="B34" s="4">
        <v>395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C0D-892D-4BE0-A8C4-9B51F62658C7}">
  <dimension ref="B2:T10"/>
  <sheetViews>
    <sheetView showGridLines="0" tabSelected="1" zoomScale="70" zoomScaleNormal="70" workbookViewId="0">
      <selection activeCell="N5" sqref="N5"/>
    </sheetView>
  </sheetViews>
  <sheetFormatPr defaultRowHeight="16.5" x14ac:dyDescent="0.3"/>
  <cols>
    <col min="1" max="1" width="4.7109375" style="5" customWidth="1"/>
    <col min="2" max="2" width="30.7109375" style="8" customWidth="1"/>
    <col min="3" max="3" width="9.140625" style="8"/>
    <col min="4" max="4" width="30.7109375" style="8" customWidth="1"/>
    <col min="5" max="5" width="9.140625" style="8"/>
    <col min="6" max="6" width="33.7109375" style="8" customWidth="1"/>
    <col min="7" max="7" width="9.140625" style="8"/>
    <col min="8" max="8" width="30.7109375" style="8" customWidth="1"/>
    <col min="9" max="12" width="9.140625" style="5"/>
    <col min="13" max="13" width="4.28515625" style="5" customWidth="1"/>
    <col min="14" max="14" width="69.28515625" style="5" customWidth="1"/>
    <col min="15" max="16384" width="9.140625" style="5"/>
  </cols>
  <sheetData>
    <row r="2" spans="2:20" ht="45" customHeight="1" x14ac:dyDescent="0.3">
      <c r="B2" s="9" t="s">
        <v>66</v>
      </c>
      <c r="C2" s="9"/>
      <c r="D2" s="9"/>
      <c r="E2" s="9"/>
      <c r="F2" s="9"/>
      <c r="G2" s="9"/>
      <c r="H2" s="9"/>
      <c r="I2" s="9"/>
      <c r="J2" s="9"/>
      <c r="K2" s="9"/>
      <c r="L2" s="9"/>
      <c r="M2" s="6"/>
      <c r="N2" s="6"/>
      <c r="O2" s="6"/>
      <c r="P2" s="6"/>
      <c r="Q2" s="7"/>
      <c r="R2" s="7"/>
      <c r="S2" s="7"/>
      <c r="T2" s="7"/>
    </row>
    <row r="4" spans="2:20" s="15" customFormat="1" ht="21" x14ac:dyDescent="0.35">
      <c r="B4" s="10" t="s">
        <v>67</v>
      </c>
      <c r="C4" s="11"/>
      <c r="D4" s="12" t="s">
        <v>71</v>
      </c>
      <c r="E4" s="11"/>
      <c r="F4" s="13" t="s">
        <v>72</v>
      </c>
      <c r="G4" s="11"/>
      <c r="H4" s="14" t="s">
        <v>68</v>
      </c>
    </row>
    <row r="5" spans="2:20" s="21" customFormat="1" ht="50.25" customHeight="1" x14ac:dyDescent="0.7">
      <c r="B5" s="16">
        <f>COUNTA(raw_data!A:A)-1</f>
        <v>395</v>
      </c>
      <c r="C5" s="17"/>
      <c r="D5" s="18">
        <f>COUNTIF(raw_data!AE:AE,"At Risk")</f>
        <v>185</v>
      </c>
      <c r="E5" s="17"/>
      <c r="F5" s="19">
        <f>COUNTIF(raw_data!AD:AD,"High Performing")</f>
        <v>100</v>
      </c>
      <c r="G5" s="17"/>
      <c r="H5" s="20">
        <f>ROUND(AVERAGE(raw_data!AC:AC),2)</f>
        <v>10.42</v>
      </c>
    </row>
    <row r="6" spans="2:20" ht="18.75" x14ac:dyDescent="0.3">
      <c r="N6" s="23" t="s">
        <v>82</v>
      </c>
      <c r="O6" s="22"/>
      <c r="P6" s="22"/>
      <c r="Q6" s="22"/>
      <c r="R6" s="22"/>
      <c r="S6" s="22"/>
      <c r="T6" s="22"/>
    </row>
    <row r="7" spans="2:20" x14ac:dyDescent="0.3">
      <c r="N7" s="22" t="s">
        <v>78</v>
      </c>
      <c r="O7" s="22"/>
      <c r="P7" s="22"/>
      <c r="Q7" s="22"/>
      <c r="R7" s="22"/>
      <c r="S7" s="22"/>
      <c r="T7" s="22"/>
    </row>
    <row r="8" spans="2:20" x14ac:dyDescent="0.3">
      <c r="N8" s="22" t="s">
        <v>79</v>
      </c>
      <c r="O8" s="22"/>
      <c r="P8" s="22"/>
      <c r="Q8" s="22"/>
      <c r="R8" s="22"/>
      <c r="S8" s="22"/>
      <c r="T8" s="22"/>
    </row>
    <row r="9" spans="2:20" x14ac:dyDescent="0.3">
      <c r="N9" s="22" t="s">
        <v>80</v>
      </c>
      <c r="O9" s="22"/>
      <c r="P9" s="22"/>
      <c r="Q9" s="22"/>
      <c r="R9" s="22"/>
      <c r="S9" s="22"/>
      <c r="T9" s="22"/>
    </row>
    <row r="10" spans="2:20" x14ac:dyDescent="0.3">
      <c r="N10" s="22" t="s">
        <v>81</v>
      </c>
    </row>
  </sheetData>
  <mergeCells count="1">
    <mergeCell ref="B2:L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2026-03-06T05:42:57Z</dcterms:created>
  <dcterms:modified xsi:type="dcterms:W3CDTF">2026-03-07T07:04:43Z</dcterms:modified>
</cp:coreProperties>
</file>